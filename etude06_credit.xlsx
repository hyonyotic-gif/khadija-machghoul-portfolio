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5407cb33b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cf56c65edde48e2"/>
    <x:sheet xmlns:r="http://schemas.openxmlformats.org/officeDocument/2006/relationships" name="PORTEFEUILLE" sheetId="2" r:id="R86372be602824ddf"/>
    <x:sheet xmlns:r="http://schemas.openxmlformats.org/officeDocument/2006/relationships" name="SEGMENTS" sheetId="3" r:id="R7a20dc584e854f2f"/>
    <x:sheet xmlns:r="http://schemas.openxmlformats.org/officeDocument/2006/relationships" name="RISQUE_CREDIT" sheetId="4" r:id="Rf249a50d49c547fa"/>
    <x:sheet xmlns:r="http://schemas.openxmlformats.org/officeDocument/2006/relationships" name="CONTROLES" sheetId="5" r:id="R35fe09cf1e4c48be"/>
    <x:sheet xmlns:r="http://schemas.openxmlformats.org/officeDocument/2006/relationships" name="GUIDE" sheetId="6" r:id="R40be76c5190e48fb"/>
    <x:sheet xmlns:r="http://schemas.openxmlformats.org/officeDocument/2006/relationships" name="DATA_VISU" sheetId="7" r:id="R9393e762361b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–"/>
    <x:numFmt numFmtId="201" formatCode="0.0%;[Red](0.0%);–"/>
    <x:numFmt numFmtId="202" formatCode="0"/>
  </x:numFmts>
  <x:fonts count="10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0"/>
      <x:color rgb="FFFFFFFF"/>
      <x:name val="Carlito"/>
    </x:font>
    <x:font>
      <x:b/>
      <x:sz val="11"/>
      <x:color rgb="FF145B80"/>
      <x:name val="Carlito"/>
    </x:font>
    <x:font>
      <x:i/>
      <x:sz val="11"/>
      <x:color rgb="FF526779"/>
      <x:name val="Carlito"/>
    </x:font>
    <x:font>
      <x:b/>
      <x:sz val="9"/>
      <x:color rgb="FFFFFFFF"/>
      <x:name val="Carlito"/>
    </x:font>
    <x:font>
      <x:b/>
      <x:sz val="17"/>
      <x:color rgb="FF12243A"/>
      <x:name val="Carlito"/>
    </x:font>
    <x:font>
      <x:sz val="11"/>
      <x:color rgb="FF12243A"/>
      <x:name val="Carlito"/>
    </x:font>
    <x:font>
      <x:sz val="9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43A"/>
      </x:patternFill>
    </x:fill>
    <x:fill>
      <x:patternFill patternType="solid">
        <x:fgColor rgb="FF145B80"/>
      </x:patternFill>
    </x:fill>
    <x:fill>
      <x:patternFill patternType="solid">
        <x:fgColor rgb="FFE5F3F1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200" fontId="7" fillId="5" borderId="0" xfId="0" applyNumberFormat="1" applyFont="1" applyFill="1" applyBorder="1" applyAlignment="1">
      <x:alignment horizontal="center" vertical="center"/>
    </x:xf>
    <x:xf numFmtId="200" fontId="7" fillId="5" borderId="1" xfId="0" applyNumberFormat="1" applyFont="1" applyFill="1" applyBorder="1" applyAlignment="1">
      <x:alignment horizontal="center" vertical="center"/>
    </x:xf>
    <x:xf numFmtId="202" fontId="7" fillId="5" borderId="0" xfId="0" applyNumberFormat="1" applyFont="1" applyFill="1" applyBorder="1" applyAlignment="1">
      <x:alignment horizontal="center" vertical="center"/>
    </x:xf>
    <x:xf numFmtId="202" fontId="7" fillId="5" borderId="1" xfId="0" applyNumberFormat="1" applyFont="1" applyFill="1" applyBorder="1" applyAlignment="1">
      <x:alignment horizontal="center" vertical="center"/>
    </x:xf>
    <x:xf numFmtId="201" fontId="7" fillId="5" borderId="0" xfId="0" applyNumberFormat="1" applyFont="1" applyFill="1" applyBorder="1" applyAlignment="1">
      <x:alignment horizontal="center" vertical="center"/>
    </x:xf>
    <x:xf numFmtId="201" fontId="7" fillId="5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b9b449d7b4817" /><Relationship Type="http://schemas.openxmlformats.org/officeDocument/2006/relationships/theme" Target="/xl/theme/theme1.xml" Id="R7277e9505dd949cf" /><Relationship Type="http://schemas.openxmlformats.org/officeDocument/2006/relationships/sharedStrings" Target="/xl/sharedStrings.xml" Id="R9744dff59e2348b6" /><Relationship Type="http://schemas.openxmlformats.org/officeDocument/2006/relationships/worksheet" Target="/xl/worksheets/sheet1.xml" Id="R0cf56c65edde48e2" /><Relationship Type="http://schemas.openxmlformats.org/officeDocument/2006/relationships/worksheet" Target="/xl/worksheets/sheet2.xml" Id="R86372be602824ddf" /><Relationship Type="http://schemas.openxmlformats.org/officeDocument/2006/relationships/worksheet" Target="/xl/worksheets/sheet3.xml" Id="R7a20dc584e854f2f" /><Relationship Type="http://schemas.openxmlformats.org/officeDocument/2006/relationships/worksheet" Target="/xl/worksheets/sheet4.xml" Id="Rf249a50d49c547fa" /><Relationship Type="http://schemas.openxmlformats.org/officeDocument/2006/relationships/worksheet" Target="/xl/worksheets/sheet5.xml" Id="R35fe09cf1e4c48be" /><Relationship Type="http://schemas.openxmlformats.org/officeDocument/2006/relationships/worksheet" Target="/xl/worksheets/sheet6.xml" Id="R40be76c5190e48fb" /><Relationship Type="http://schemas.openxmlformats.org/officeDocument/2006/relationships/worksheet" Target="/xl/worksheets/sheet7.xml" Id="R9393e762361b40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ba30cfd6a94dbc" /><Relationship Type="http://schemas.openxmlformats.org/officeDocument/2006/relationships/chart" Target="/xl/drawings/charts/chart2.xml" Id="R17a6bcceb80a4f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Encours par segment (MAD)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Encours MAD</c:v>
          </c:tx>
          <c:cat>
            <c:strRef>
              <c:f>'DATA_VISU'!$A$2:$A$5</c:f>
              <c:strCache>
                <c:ptCount val="0"/>
              </c:strCache>
            </c:strRef>
          </c:cat>
          <c:val>
            <c:numRef>
              <c:f>'DATA_VISU'!$B$2:$B$5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Nombre de crédits impayés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Ref>
              <c:f>'DATA_VISU'!$C$2:$C$5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Impayés</c:v>
          </c:tx>
          <c:cat>
            <c:strRef>
              <c:f>'DATA_VISU'!$A$2:$A$5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22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ba30cfd6a94dbc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a6bcceb80a4f9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f6ed1500414c72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4" hidden="0" customWidth="1"/>
  </x:cols>
  <x:sheetData>
    <x:row r="2" ht="30" customHeight="1">
      <x:c r="B2" s="4" t="str">
        <x:v>BANKING ANALYTICS  /  RISQUE DE CRÉDIT — VUE EXÉCUTIVE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0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B4" s="22" t="str">
        <x:v>KHADIJA MACHGHOUL   •   ÉTUDE 06   •   Portefeuille entièrement fictif   |   MAD</x:v>
      </x:c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6">
      <x:c r="B6" s="24" t="str">
        <x:v>SEGMENT SÉLECTIONNÉ</x:v>
      </x:c>
      <x:c r="C6" s="24" t="str">
        <x:v>SEGMENT SÉLECTIONNÉ</x:v>
      </x:c>
      <x:c r="D6" s="24" t="str">
        <x:v>SEGMENT SÉLECTIONNÉ</x:v>
      </x:c>
      <x:c r="E6" s="27" t="str">
        <x:v>Tous segments</x:v>
      </x:c>
      <x:c r="F6" s="27"/>
      <x:c r="G6" s="27"/>
      <x:c r="I6" s="30" t="str">
        <x:v>Sélecteur actif : montants et risques recalculés</x:v>
      </x:c>
      <x:c r="J6" s="30"/>
      <x:c r="K6" s="30"/>
      <x:c r="L6" s="30"/>
      <x:c r="M6" s="30"/>
    </x:row>
    <x:row r="9">
      <x:c r="B9" s="33" t="str">
        <x:v>ENCOURS TOTAL</x:v>
      </x:c>
      <x:c r="C9" s="33"/>
      <x:c r="D9" s="33"/>
      <x:c r="E9" s="33" t="str">
        <x:v>CRÉDITS ACTIFS</x:v>
      </x:c>
      <x:c r="F9" s="33"/>
      <x:c r="G9" s="33"/>
      <x:c r="H9" s="33" t="str">
        <x:v>TAUX IMPAYÉS</x:v>
      </x:c>
      <x:c r="I9" s="33"/>
      <x:c r="J9" s="33"/>
      <x:c r="K9" s="33" t="str">
        <x:v>ENCOURS IMPAYÉS</x:v>
      </x:c>
      <x:c r="L9" s="33"/>
      <x:c r="M9" s="33"/>
    </x:row>
    <x:row r="10">
      <x:c r="B10" s="44" t="n">
        <x:f>IF($E$6="Tous segments",SUM(PORTEFEUILLE!$F$5:$F$254),SUMIF(PORTEFEUILLE!$C$5:$C$254,$E$6,PORTEFEUILLE!$F$5:$F$254))</x:f>
        <x:v>18200000</x:v>
      </x:c>
      <x:c r="C10" s="39"/>
      <x:c r="D10" s="39"/>
      <x:c r="E10" s="46" t="n">
        <x:f>IF($E$6="Tous segments",COUNTA(PORTEFEUILLE!$A$5:$A$254),COUNTIF(PORTEFEUILLE!$C$5:$C$254,$E$6))</x:f>
        <x:v>250</x:v>
      </x:c>
      <x:c r="F10" s="39"/>
      <x:c r="G10" s="39"/>
      <x:c r="H10" s="48" t="n">
        <x:f>IFERROR(IF($E$6="Tous segments",COUNTIF(PORTEFEUILLE!$J$5:$J$254,"Impayé"),COUNTIFS(PORTEFEUILLE!$C$5:$C$254,$E$6,PORTEFEUILLE!$J$5:$J$254,"Impayé"))/IF($E$6="Tous segments",COUNTA(PORTEFEUILLE!$A$5:$A$254),COUNTIF(PORTEFEUILLE!$C$5:$C$254,$E$6)),0)</x:f>
        <x:v>0.028</x:v>
      </x:c>
      <x:c r="I10" s="39"/>
      <x:c r="J10" s="39"/>
      <x:c r="K10" s="44" t="n">
        <x:f>IF($E$6="Tous segments",SUMIF(PORTEFEUILLE!$I$5:$I$254,"&gt;0",PORTEFEUILLE!$F$5:$F$254),SUMIFS(PORTEFEUILLE!$F$5:$F$254,PORTEFEUILLE!$C$5:$C$254,$E$6,PORTEFEUILLE!$I$5:$I$254,"&gt;0"))</x:f>
        <x:v>567218.21</x:v>
      </x:c>
      <x:c r="L10" s="39"/>
      <x:c r="M10" s="39"/>
    </x:row>
    <x:row r="11"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</x:row>
    <x:row r="12"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</x:row>
    <x:row r="15">
      <x:c r="B15" s="33" t="str">
        <x:v>PAR 30</x:v>
      </x:c>
      <x:c r="C15" s="33"/>
      <x:c r="D15" s="33"/>
      <x:c r="E15" s="33" t="str">
        <x:v>PAR 90</x:v>
      </x:c>
      <x:c r="F15" s="33"/>
      <x:c r="G15" s="33"/>
      <x:c r="H15" s="33" t="str">
        <x:v>PERTE ATTENDUE</x:v>
      </x:c>
      <x:c r="I15" s="33"/>
      <x:c r="J15" s="33"/>
      <x:c r="K15" s="33" t="str">
        <x:v>CRÉDITS IMPAYÉS</x:v>
      </x:c>
      <x:c r="L15" s="33"/>
      <x:c r="M15" s="33"/>
    </x:row>
    <x:row r="16">
      <x:c r="B16" s="48" t="n">
        <x:f>IFERROR(IF($E$6="Tous segments",SUMIF(PORTEFEUILLE!$I$5:$I$254,"&gt;30",PORTEFEUILLE!$F$5:$F$254),SUMIFS(PORTEFEUILLE!$F$5:$F$254,PORTEFEUILLE!$C$5:$C$254,$E$6,PORTEFEUILLE!$I$5:$I$254,"&gt;30"))/$B$10,0)</x:f>
        <x:v>0.021902916483516482</x:v>
      </x:c>
      <x:c r="C16" s="39"/>
      <x:c r="D16" s="39"/>
      <x:c r="E16" s="48" t="n">
        <x:f>IFERROR(IF($E$6="Tous segments",SUMIF(PORTEFEUILLE!$I$5:$I$254,"&gt;90",PORTEFEUILLE!$F$5:$F$254),SUMIFS(PORTEFEUILLE!$F$5:$F$254,PORTEFEUILLE!$C$5:$C$254,$E$6,PORTEFEUILLE!$I$5:$I$254,"&gt;90"))/$B$10,0)</x:f>
        <x:v>0.015401915934065934</x:v>
      </x:c>
      <x:c r="F16" s="39"/>
      <x:c r="G16" s="39"/>
      <x:c r="H16" s="44" t="n">
        <x:f>IF($E$6="Tous segments",SUM(PORTEFEUILLE!$N$5:$N$254),SUMIF(PORTEFEUILLE!$C$5:$C$254,$E$6,PORTEFEUILLE!$N$5:$N$254))</x:f>
        <x:v>330916.66655714996</x:v>
      </x:c>
      <x:c r="I16" s="39"/>
      <x:c r="J16" s="39"/>
      <x:c r="K16" s="46" t="n">
        <x:f>IF($E$6="Tous segments",COUNTIF(PORTEFEUILLE!$J$5:$J$254,"Impayé"),COUNTIFS(PORTEFEUILLE!$C$5:$C$254,$E$6,PORTEFEUILLE!$J$5:$J$254,"Impayé"))</x:f>
        <x:v>7</x:v>
      </x:c>
      <x:c r="L16" s="39"/>
      <x:c r="M16" s="39"/>
    </x:row>
    <x:row r="17"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</x:row>
    <x:row r="18"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</x:row>
    <x:row r="21" ht="30" customHeight="1">
      <x:c r="B21" s="4" t="str">
        <x:v>01  /  ENCOURS PAR SEGMENT</x:v>
      </x:c>
      <x:c r="C21" s="4"/>
      <x:c r="D21" s="4"/>
      <x:c r="E21" s="4"/>
      <x:c r="F21" s="4"/>
      <x:c r="G21" s="4"/>
      <x:c r="H21" s="4" t="str">
        <x:v>02  /  IMPAYÉS PAR SEGMENT</x:v>
      </x:c>
      <x:c r="I21" s="4"/>
      <x:c r="J21" s="4"/>
      <x:c r="K21" s="4"/>
      <x:c r="L21" s="4"/>
      <x:c r="M21" s="4"/>
    </x:row>
    <x:row r="39" ht="30" customHeight="1">
      <x:c r="B39" s="4" t="str">
        <x:v>03  /  LECTURE BANCAIRE &amp; ACTIONS RECOMMANDÉES</x:v>
      </x:c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>
      <x:c r="B40" s="52" t="str">
        <x:v>Prioriser les retards &gt; 30 jours, suivre l’exposition par segment et renforcer la surveillance des dossiers classés C/D. Les PD/LGD sont des hypothèses pédagogiques, non des estimations réglementaires.</x:v>
      </x:c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</x:row>
    <x:row r="41"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</x:row>
    <x:row r="42"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</x:row>
    <x:row r="44">
      <x:c r="B44" s="56" t="str">
        <x:v>DONNÉES 100 % FICTIVES  •  Taux d’impayés = nombre de crédits avec retard / nombre de crédits  •  Calculs non prudentiels</x:v>
      </x:c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</x:row>
  </x:sheetData>
  <x:mergeCells>
    <x:mergeCell ref="B2:M3"/>
    <x:mergeCell ref="B4:M4"/>
    <x:mergeCell ref="B6:D6"/>
    <x:mergeCell ref="E6:G6"/>
    <x:mergeCell ref="I6:M6"/>
    <x:mergeCell ref="B9:D9"/>
    <x:mergeCell ref="B10:D12"/>
    <x:mergeCell ref="E9:G9"/>
    <x:mergeCell ref="E10:G12"/>
    <x:mergeCell ref="H9:J9"/>
    <x:mergeCell ref="H10:J12"/>
    <x:mergeCell ref="K9:M9"/>
    <x:mergeCell ref="K10:M12"/>
    <x:mergeCell ref="B15:D15"/>
    <x:mergeCell ref="B16:D18"/>
    <x:mergeCell ref="E15:G15"/>
    <x:mergeCell ref="E16:G18"/>
    <x:mergeCell ref="H15:J15"/>
    <x:mergeCell ref="H16:J18"/>
    <x:mergeCell ref="K15:M15"/>
    <x:mergeCell ref="K16:M18"/>
    <x:mergeCell ref="B21:G21"/>
    <x:mergeCell ref="H21:M21"/>
    <x:mergeCell ref="B39:M39"/>
    <x:mergeCell ref="B40:M42"/>
    <x:mergeCell ref="B44:M44"/>
  </x:mergeCells>
  <x:dataValidations count="1">
    <x:dataValidation type="list" sqref="E6">
      <x:formula1>"Tous segments,Particuliers,TPE,PME,Professionnels"</x:formula1>
    </x:dataValidation>
  </x:dataValidations>
  <x:pageMargins left="0.7" right="0.7" top="0.75" bottom="0.75" header="0.3" footer="0.3"/>
  <x:drawing xmlns:r="http://schemas.openxmlformats.org/officeDocument/2006/relationships" r:id="Rf5f6ed1500414c72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9" hidden="0" customWidth="1"/>
    <x:col min="11" max="11" width="13" hidden="0" customWidth="1"/>
    <x:col min="12" max="12" width="13" hidden="0" customWidth="1"/>
    <x:col min="13" max="13" width="19" hidden="0" customWidth="1"/>
    <x:col min="14" max="14" width="21" hidden="0" customWidth="1"/>
    <x:col min="15" max="15" width="19" hidden="0" customWidth="1"/>
  </x:cols>
  <x:sheetData>
    <x:row r="1" ht="30" customHeight="1">
      <x:c r="A1" s="4" t="str">
        <x:v>ÉTUDE 06 / REGISTRE DES CRÉDITS — DONNÉES FICTIVES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/>
    <x:row r="4" ht="32" customHeight="1">
      <x:c r="A4" s="10" t="str">
        <x:v>ID crédit</x:v>
      </x:c>
      <x:c r="B4" s="10" t="str">
        <x:v>Octroi</x:v>
      </x:c>
      <x:c r="C4" s="10" t="str">
        <x:v>Segment</x:v>
      </x:c>
      <x:c r="D4" s="10" t="str">
        <x:v>Produit</x:v>
      </x:c>
      <x:c r="E4" s="10" t="str">
        <x:v>Région</x:v>
      </x:c>
      <x:c r="F4" s="10" t="str">
        <x:v>Encours MAD</x:v>
      </x:c>
      <x:c r="G4" s="10" t="str">
        <x:v>Durée mois</x:v>
      </x:c>
      <x:c r="H4" s="10" t="str">
        <x:v>Taux annuel %</x:v>
      </x:c>
      <x:c r="I4" s="10" t="str">
        <x:v>Jours retard</x:v>
      </x:c>
      <x:c r="J4" s="10" t="str">
        <x:v>Statut</x:v>
      </x:c>
      <x:c r="K4" s="10" t="str">
        <x:v>PD indicative</x:v>
      </x:c>
      <x:c r="L4" s="10" t="str">
        <x:v>LGD indicative</x:v>
      </x:c>
      <x:c r="M4" s="10" t="str">
        <x:v>Classe de risque</x:v>
      </x:c>
      <x:c r="N4" s="9" t="str">
        <x:v>Perte attendue MAD</x:v>
      </x:c>
      <x:c r="O4" s="9" t="str">
        <x:v>EAD × PD MAD</x:v>
      </x:c>
    </x:row>
    <x:row r="5" ht="21" customHeight="1">
      <x:c r="A5" t="str">
        <x:v>CR-0001</x:v>
      </x:c>
      <x:c r="B5" t="str">
        <x:v>2023-01-10</x:v>
      </x:c>
      <x:c r="C5" t="str">
        <x:v>Professionnels</x:v>
      </x:c>
      <x:c r="D5" t="str">
        <x:v>Investissement</x:v>
      </x:c>
      <x:c r="E5" t="str">
        <x:v>Rabat</x:v>
      </x:c>
      <x:c r="F5" s="14" t="n">
        <x:v>43611.81</x:v>
      </x:c>
      <x:c r="G5" t="n">
        <x:v>60</x:v>
      </x:c>
      <x:c r="H5" t="n">
        <x:v>9.33</x:v>
      </x:c>
      <x:c r="I5" t="n">
        <x:v>0</x:v>
      </x:c>
      <x:c r="J5" t="str">
        <x:v>À jour</x:v>
      </x:c>
      <x:c r="K5" s="16" t="n">
        <x:v>0.0445</x:v>
      </x:c>
      <x:c r="L5" s="16" t="n">
        <x:v>0.45</x:v>
      </x:c>
      <x:c r="M5" t="str">
        <x:v>B</x:v>
      </x:c>
      <x:c r="N5" s="14" t="n">
        <x:f>F5*K5*L5</x:f>
        <x:v>873.3264952499999</x:v>
      </x:c>
      <x:c r="O5" s="14" t="n">
        <x:f>F5*K5</x:f>
        <x:v>1940.7255449999998</x:v>
      </x:c>
    </x:row>
    <x:row r="6" ht="21" customHeight="1">
      <x:c r="A6" t="str">
        <x:v>CR-0002</x:v>
      </x:c>
      <x:c r="B6" t="str">
        <x:v>2024-02-10</x:v>
      </x:c>
      <x:c r="C6" t="str">
        <x:v>TPE</x:v>
      </x:c>
      <x:c r="D6" t="str">
        <x:v>Consommation</x:v>
      </x:c>
      <x:c r="E6" t="str">
        <x:v>Rabat</x:v>
      </x:c>
      <x:c r="F6" s="14" t="n">
        <x:v>78307.32</x:v>
      </x:c>
      <x:c r="G6" t="n">
        <x:v>60</x:v>
      </x:c>
      <x:c r="H6" t="n">
        <x:v>7.15</x:v>
      </x:c>
      <x:c r="I6" t="n">
        <x:v>0</x:v>
      </x:c>
      <x:c r="J6" t="str">
        <x:v>À jour</x:v>
      </x:c>
      <x:c r="K6" s="16" t="n">
        <x:v>0.025</x:v>
      </x:c>
      <x:c r="L6" s="16" t="n">
        <x:v>0.7</x:v>
      </x:c>
      <x:c r="M6" t="str">
        <x:v>B</x:v>
      </x:c>
      <x:c r="N6" s="14" t="n">
        <x:f>F6*K6*L6</x:f>
        <x:v>1370.3781000000001</x:v>
      </x:c>
      <x:c r="O6" s="14" t="n">
        <x:f>F6*K6</x:f>
        <x:v>1957.6830000000002</x:v>
      </x:c>
    </x:row>
    <x:row r="7" ht="21" customHeight="1">
      <x:c r="A7" t="str">
        <x:v>CR-0003</x:v>
      </x:c>
      <x:c r="B7" t="str">
        <x:v>2025-03-10</x:v>
      </x:c>
      <x:c r="C7" t="str">
        <x:v>TPE</x:v>
      </x:c>
      <x:c r="D7" t="str">
        <x:v>Investissement</x:v>
      </x:c>
      <x:c r="E7" t="str">
        <x:v>Marrakech</x:v>
      </x:c>
      <x:c r="F7" s="14" t="n">
        <x:v>66250.1</x:v>
      </x:c>
      <x:c r="G7" t="n">
        <x:v>60</x:v>
      </x:c>
      <x:c r="H7" t="n">
        <x:v>4.21</x:v>
      </x:c>
      <x:c r="I7" t="n">
        <x:v>0</x:v>
      </x:c>
      <x:c r="J7" t="str">
        <x:v>À jour</x:v>
      </x:c>
      <x:c r="K7" s="16" t="n">
        <x:v>0.0499</x:v>
      </x:c>
      <x:c r="L7" s="16" t="n">
        <x:v>0.45</x:v>
      </x:c>
      <x:c r="M7" t="str">
        <x:v>B</x:v>
      </x:c>
      <x:c r="N7" s="14" t="n">
        <x:f>F7*K7*L7</x:f>
        <x:v>1487.6459955000003</x:v>
      </x:c>
      <x:c r="O7" s="14" t="n">
        <x:f>F7*K7</x:f>
        <x:v>3305.8799900000004</x:v>
      </x:c>
    </x:row>
    <x:row r="8" ht="21" customHeight="1">
      <x:c r="A8" t="str">
        <x:v>CR-0004</x:v>
      </x:c>
      <x:c r="B8" t="str">
        <x:v>2023-04-10</x:v>
      </x:c>
      <x:c r="C8" t="str">
        <x:v>Particuliers</x:v>
      </x:c>
      <x:c r="D8" t="str">
        <x:v>Investissement</x:v>
      </x:c>
      <x:c r="E8" t="str">
        <x:v>Marrakech</x:v>
      </x:c>
      <x:c r="F8" s="14" t="n">
        <x:v>71453.33</x:v>
      </x:c>
      <x:c r="G8" t="n">
        <x:v>24</x:v>
      </x:c>
      <x:c r="H8" t="n">
        <x:v>3.79</x:v>
      </x:c>
      <x:c r="I8" t="n">
        <x:v>0</x:v>
      </x:c>
      <x:c r="J8" t="str">
        <x:v>À jour</x:v>
      </x:c>
      <x:c r="K8" s="16" t="n">
        <x:v>0.0238</x:v>
      </x:c>
      <x:c r="L8" s="16" t="n">
        <x:v>0.45</x:v>
      </x:c>
      <x:c r="M8" t="str">
        <x:v>B</x:v>
      </x:c>
      <x:c r="N8" s="14" t="n">
        <x:f>F8*K8*L8</x:f>
        <x:v>765.2651643000002</x:v>
      </x:c>
      <x:c r="O8" s="14" t="n">
        <x:f>F8*K8</x:f>
        <x:v>1700.5892540000002</x:v>
      </x:c>
    </x:row>
    <x:row r="9" ht="21" customHeight="1">
      <x:c r="A9" t="str">
        <x:v>CR-0005</x:v>
      </x:c>
      <x:c r="B9" t="str">
        <x:v>2024-05-10</x:v>
      </x:c>
      <x:c r="C9" t="str">
        <x:v>TPE</x:v>
      </x:c>
      <x:c r="D9" t="str">
        <x:v>Équipement</x:v>
      </x:c>
      <x:c r="E9" t="str">
        <x:v>Fès</x:v>
      </x:c>
      <x:c r="F9" s="14" t="n">
        <x:v>33916.46</x:v>
      </x:c>
      <x:c r="G9" t="n">
        <x:v>24</x:v>
      </x:c>
      <x:c r="H9" t="n">
        <x:v>8.56</x:v>
      </x:c>
      <x:c r="I9" t="n">
        <x:v>0</x:v>
      </x:c>
      <x:c r="J9" t="str">
        <x:v>À jour</x:v>
      </x:c>
      <x:c r="K9" s="16" t="n">
        <x:v>0.0469</x:v>
      </x:c>
      <x:c r="L9" s="16" t="n">
        <x:v>0.4</x:v>
      </x:c>
      <x:c r="M9" t="str">
        <x:v>B</x:v>
      </x:c>
      <x:c r="N9" s="14" t="n">
        <x:f>F9*K9*L9</x:f>
        <x:v>636.2727896</x:v>
      </x:c>
      <x:c r="O9" s="14" t="n">
        <x:f>F9*K9</x:f>
        <x:v>1590.6819739999999</x:v>
      </x:c>
    </x:row>
    <x:row r="10" ht="21" customHeight="1">
      <x:c r="A10" t="str">
        <x:v>CR-0006</x:v>
      </x:c>
      <x:c r="B10" t="str">
        <x:v>2025-06-10</x:v>
      </x:c>
      <x:c r="C10" t="str">
        <x:v>Professionnels</x:v>
      </x:c>
      <x:c r="D10" t="str">
        <x:v>Trésorerie</x:v>
      </x:c>
      <x:c r="E10" t="str">
        <x:v>Rabat</x:v>
      </x:c>
      <x:c r="F10" s="14" t="n">
        <x:v>49469.24</x:v>
      </x:c>
      <x:c r="G10" t="n">
        <x:v>120</x:v>
      </x:c>
      <x:c r="H10" t="n">
        <x:v>5.15</x:v>
      </x:c>
      <x:c r="I10" t="n">
        <x:v>0</x:v>
      </x:c>
      <x:c r="J10" t="str">
        <x:v>À jour</x:v>
      </x:c>
      <x:c r="K10" s="16" t="n">
        <x:v>0.0451</x:v>
      </x:c>
      <x:c r="L10" s="16" t="n">
        <x:v>0.6</x:v>
      </x:c>
      <x:c r="M10" t="str">
        <x:v>B</x:v>
      </x:c>
      <x:c r="N10" s="14" t="n">
        <x:f>F10*K10*L10</x:f>
        <x:v>1338.6376343999998</x:v>
      </x:c>
      <x:c r="O10" s="14" t="n">
        <x:f>F10*K10</x:f>
        <x:v>2231.062724</x:v>
      </x:c>
    </x:row>
    <x:row r="11" ht="21" customHeight="1">
      <x:c r="A11" t="str">
        <x:v>CR-0007</x:v>
      </x:c>
      <x:c r="B11" t="str">
        <x:v>2023-07-10</x:v>
      </x:c>
      <x:c r="C11" t="str">
        <x:v>Particuliers</x:v>
      </x:c>
      <x:c r="D11" t="str">
        <x:v>Trésorerie</x:v>
      </x:c>
      <x:c r="E11" t="str">
        <x:v>Casablanca</x:v>
      </x:c>
      <x:c r="F11" s="14" t="n">
        <x:v>81546.03</x:v>
      </x:c>
      <x:c r="G11" t="n">
        <x:v>120</x:v>
      </x:c>
      <x:c r="H11" t="n">
        <x:v>7.52</x:v>
      </x:c>
      <x:c r="I11" t="n">
        <x:v>0</x:v>
      </x:c>
      <x:c r="J11" t="str">
        <x:v>À jour</x:v>
      </x:c>
      <x:c r="K11" s="16" t="n">
        <x:v>0.0642</x:v>
      </x:c>
      <x:c r="L11" s="16" t="n">
        <x:v>0.6</x:v>
      </x:c>
      <x:c r="M11" t="str">
        <x:v>C</x:v>
      </x:c>
      <x:c r="N11" s="14" t="n">
        <x:f>F11*K11*L11</x:f>
        <x:v>3141.1530755999993</x:v>
      </x:c>
      <x:c r="O11" s="14" t="n">
        <x:f>F11*K11</x:f>
        <x:v>5235.255125999999</x:v>
      </x:c>
    </x:row>
    <x:row r="12" ht="21" customHeight="1">
      <x:c r="A12" t="str">
        <x:v>CR-0008</x:v>
      </x:c>
      <x:c r="B12" t="str">
        <x:v>2024-08-10</x:v>
      </x:c>
      <x:c r="C12" t="str">
        <x:v>Professionnels</x:v>
      </x:c>
      <x:c r="D12" t="str">
        <x:v>Consommation</x:v>
      </x:c>
      <x:c r="E12" t="str">
        <x:v>Rabat</x:v>
      </x:c>
      <x:c r="F12" s="14" t="n">
        <x:v>80771.14</x:v>
      </x:c>
      <x:c r="G12" t="n">
        <x:v>36</x:v>
      </x:c>
      <x:c r="H12" t="n">
        <x:v>4.46</x:v>
      </x:c>
      <x:c r="I12" t="n">
        <x:v>0</x:v>
      </x:c>
      <x:c r="J12" t="str">
        <x:v>À jour</x:v>
      </x:c>
      <x:c r="K12" s="16" t="n">
        <x:v>0.0639</x:v>
      </x:c>
      <x:c r="L12" s="16" t="n">
        <x:v>0.7</x:v>
      </x:c>
      <x:c r="M12" t="str">
        <x:v>C</x:v>
      </x:c>
      <x:c r="N12" s="14" t="n">
        <x:f>F12*K12*L12</x:f>
        <x:v>3612.8930921999995</x:v>
      </x:c>
      <x:c r="O12" s="14" t="n">
        <x:f>F12*K12</x:f>
        <x:v>5161.275846</x:v>
      </x:c>
    </x:row>
    <x:row r="13" ht="21" customHeight="1">
      <x:c r="A13" t="str">
        <x:v>CR-0009</x:v>
      </x:c>
      <x:c r="B13" t="str">
        <x:v>2025-09-10</x:v>
      </x:c>
      <x:c r="C13" t="str">
        <x:v>PME</x:v>
      </x:c>
      <x:c r="D13" t="str">
        <x:v>Habitat</x:v>
      </x:c>
      <x:c r="E13" t="str">
        <x:v>Fès</x:v>
      </x:c>
      <x:c r="F13" s="14" t="n">
        <x:v>35317.29</x:v>
      </x:c>
      <x:c r="G13" t="n">
        <x:v>24</x:v>
      </x:c>
      <x:c r="H13" t="n">
        <x:v>5.89</x:v>
      </x:c>
      <x:c r="I13" t="n">
        <x:v>0</x:v>
      </x:c>
      <x:c r="J13" t="str">
        <x:v>À jour</x:v>
      </x:c>
      <x:c r="K13" s="16" t="n">
        <x:v>0.0576</x:v>
      </x:c>
      <x:c r="L13" s="16" t="n">
        <x:v>0.2</x:v>
      </x:c>
      <x:c r="M13" t="str">
        <x:v>C</x:v>
      </x:c>
      <x:c r="N13" s="14" t="n">
        <x:f>F13*K13*L13</x:f>
        <x:v>406.8551808</x:v>
      </x:c>
      <x:c r="O13" s="14" t="n">
        <x:f>F13*K13</x:f>
        <x:v>2034.275904</x:v>
      </x:c>
    </x:row>
    <x:row r="14" ht="21" customHeight="1">
      <x:c r="A14" t="str">
        <x:v>CR-0010</x:v>
      </x:c>
      <x:c r="B14" t="str">
        <x:v>2023-10-10</x:v>
      </x:c>
      <x:c r="C14" t="str">
        <x:v>PME</x:v>
      </x:c>
      <x:c r="D14" t="str">
        <x:v>Équipement</x:v>
      </x:c>
      <x:c r="E14" t="str">
        <x:v>Marrakech</x:v>
      </x:c>
      <x:c r="F14" s="14" t="n">
        <x:v>33649.9</x:v>
      </x:c>
      <x:c r="G14" t="n">
        <x:v>84</x:v>
      </x:c>
      <x:c r="H14" t="n">
        <x:v>10.05</x:v>
      </x:c>
      <x:c r="I14" t="n">
        <x:v>0</x:v>
      </x:c>
      <x:c r="J14" t="str">
        <x:v>À jour</x:v>
      </x:c>
      <x:c r="K14" s="16" t="n">
        <x:v>0.0512</x:v>
      </x:c>
      <x:c r="L14" s="16" t="n">
        <x:v>0.4</x:v>
      </x:c>
      <x:c r="M14" t="str">
        <x:v>C</x:v>
      </x:c>
      <x:c r="N14" s="14" t="n">
        <x:f>F14*K14*L14</x:f>
        <x:v>689.1499520000001</x:v>
      </x:c>
      <x:c r="O14" s="14" t="n">
        <x:f>F14*K14</x:f>
        <x:v>1722.87488</x:v>
      </x:c>
    </x:row>
    <x:row r="15" ht="21" customHeight="1">
      <x:c r="A15" t="str">
        <x:v>CR-0011</x:v>
      </x:c>
      <x:c r="B15" t="str">
        <x:v>2024-11-10</x:v>
      </x:c>
      <x:c r="C15" t="str">
        <x:v>TPE</x:v>
      </x:c>
      <x:c r="D15" t="str">
        <x:v>Équipement</x:v>
      </x:c>
      <x:c r="E15" t="str">
        <x:v>Marrakech</x:v>
      </x:c>
      <x:c r="F15" s="14" t="n">
        <x:v>106124.78</x:v>
      </x:c>
      <x:c r="G15" t="n">
        <x:v>36</x:v>
      </x:c>
      <x:c r="H15" t="n">
        <x:v>4.54</x:v>
      </x:c>
      <x:c r="I15" t="n">
        <x:v>0</x:v>
      </x:c>
      <x:c r="J15" t="str">
        <x:v>À jour</x:v>
      </x:c>
      <x:c r="K15" s="16" t="n">
        <x:v>0.0099</x:v>
      </x:c>
      <x:c r="L15" s="16" t="n">
        <x:v>0.4</x:v>
      </x:c>
      <x:c r="M15" t="str">
        <x:v>A</x:v>
      </x:c>
      <x:c r="N15" s="14" t="n">
        <x:f>F15*K15*L15</x:f>
        <x:v>420.25412880000005</x:v>
      </x:c>
      <x:c r="O15" s="14" t="n">
        <x:f>F15*K15</x:f>
        <x:v>1050.635322</x:v>
      </x:c>
    </x:row>
    <x:row r="16" ht="21" customHeight="1">
      <x:c r="A16" t="str">
        <x:v>CR-0012</x:v>
      </x:c>
      <x:c r="B16" t="str">
        <x:v>2025-12-10</x:v>
      </x:c>
      <x:c r="C16" t="str">
        <x:v>TPE</x:v>
      </x:c>
      <x:c r="D16" t="str">
        <x:v>Trésorerie</x:v>
      </x:c>
      <x:c r="E16" t="str">
        <x:v>Marrakech</x:v>
      </x:c>
      <x:c r="F16" s="14" t="n">
        <x:v>33358.51</x:v>
      </x:c>
      <x:c r="G16" t="n">
        <x:v>60</x:v>
      </x:c>
      <x:c r="H16" t="n">
        <x:v>8.22</x:v>
      </x:c>
      <x:c r="I16" t="n">
        <x:v>0</x:v>
      </x:c>
      <x:c r="J16" t="str">
        <x:v>À jour</x:v>
      </x:c>
      <x:c r="K16" s="16" t="n">
        <x:v>0.0646</x:v>
      </x:c>
      <x:c r="L16" s="16" t="n">
        <x:v>0.6</x:v>
      </x:c>
      <x:c r="M16" t="str">
        <x:v>C</x:v>
      </x:c>
      <x:c r="N16" s="14" t="n">
        <x:f>F16*K16*L16</x:f>
        <x:v>1292.9758476000002</x:v>
      </x:c>
      <x:c r="O16" s="14" t="n">
        <x:f>F16*K16</x:f>
        <x:v>2154.9597460000005</x:v>
      </x:c>
    </x:row>
    <x:row r="17" ht="21" customHeight="1">
      <x:c r="A17" t="str">
        <x:v>CR-0013</x:v>
      </x:c>
      <x:c r="B17" t="str">
        <x:v>2023-01-10</x:v>
      </x:c>
      <x:c r="C17" t="str">
        <x:v>Particuliers</x:v>
      </x:c>
      <x:c r="D17" t="str">
        <x:v>Consommation</x:v>
      </x:c>
      <x:c r="E17" t="str">
        <x:v>Tanger</x:v>
      </x:c>
      <x:c r="F17" s="14" t="n">
        <x:v>67034.02</x:v>
      </x:c>
      <x:c r="G17" t="n">
        <x:v>60</x:v>
      </x:c>
      <x:c r="H17" t="n">
        <x:v>5.29</x:v>
      </x:c>
      <x:c r="I17" t="n">
        <x:v>0</x:v>
      </x:c>
      <x:c r="J17" t="str">
        <x:v>À jour</x:v>
      </x:c>
      <x:c r="K17" s="16" t="n">
        <x:v>0.0221</x:v>
      </x:c>
      <x:c r="L17" s="16" t="n">
        <x:v>0.7</x:v>
      </x:c>
      <x:c r="M17" t="str">
        <x:v>B</x:v>
      </x:c>
      <x:c r="N17" s="14" t="n">
        <x:f>F17*K17*L17</x:f>
        <x:v>1037.0162894</x:v>
      </x:c>
      <x:c r="O17" s="14" t="n">
        <x:f>F17*K17</x:f>
        <x:v>1481.4518420000002</x:v>
      </x:c>
    </x:row>
    <x:row r="18" ht="21" customHeight="1">
      <x:c r="A18" t="str">
        <x:v>CR-0014</x:v>
      </x:c>
      <x:c r="B18" t="str">
        <x:v>2024-02-10</x:v>
      </x:c>
      <x:c r="C18" t="str">
        <x:v>TPE</x:v>
      </x:c>
      <x:c r="D18" t="str">
        <x:v>Investissement</x:v>
      </x:c>
      <x:c r="E18" t="str">
        <x:v>Tanger</x:v>
      </x:c>
      <x:c r="F18" s="14" t="n">
        <x:v>44408.57</x:v>
      </x:c>
      <x:c r="G18" t="n">
        <x:v>60</x:v>
      </x:c>
      <x:c r="H18" t="n">
        <x:v>3.74</x:v>
      </x:c>
      <x:c r="I18" t="n">
        <x:v>0</x:v>
      </x:c>
      <x:c r="J18" t="str">
        <x:v>À jour</x:v>
      </x:c>
      <x:c r="K18" s="16" t="n">
        <x:v>0.0295</x:v>
      </x:c>
      <x:c r="L18" s="16" t="n">
        <x:v>0.45</x:v>
      </x:c>
      <x:c r="M18" t="str">
        <x:v>B</x:v>
      </x:c>
      <x:c r="N18" s="14" t="n">
        <x:f>F18*K18*L18</x:f>
        <x:v>589.52376675</x:v>
      </x:c>
      <x:c r="O18" s="14" t="n">
        <x:f>F18*K18</x:f>
        <x:v>1310.052815</x:v>
      </x:c>
    </x:row>
    <x:row r="19" ht="21" customHeight="1">
      <x:c r="A19" t="str">
        <x:v>CR-0015</x:v>
      </x:c>
      <x:c r="B19" t="str">
        <x:v>2025-03-10</x:v>
      </x:c>
      <x:c r="C19" t="str">
        <x:v>PME</x:v>
      </x:c>
      <x:c r="D19" t="str">
        <x:v>Trésorerie</x:v>
      </x:c>
      <x:c r="E19" t="str">
        <x:v>Fès</x:v>
      </x:c>
      <x:c r="F19" s="14" t="n">
        <x:v>76620.85</x:v>
      </x:c>
      <x:c r="G19" t="n">
        <x:v>48</x:v>
      </x:c>
      <x:c r="H19" t="n">
        <x:v>6.25</x:v>
      </x:c>
      <x:c r="I19" t="n">
        <x:v>0</x:v>
      </x:c>
      <x:c r="J19" t="str">
        <x:v>À jour</x:v>
      </x:c>
      <x:c r="K19" s="16" t="n">
        <x:v>0.0485</x:v>
      </x:c>
      <x:c r="L19" s="16" t="n">
        <x:v>0.6</x:v>
      </x:c>
      <x:c r="M19" t="str">
        <x:v>B</x:v>
      </x:c>
      <x:c r="N19" s="14" t="n">
        <x:f>F19*K19*L19</x:f>
        <x:v>2229.6667350000002</x:v>
      </x:c>
      <x:c r="O19" s="14" t="n">
        <x:f>F19*K19</x:f>
        <x:v>3716.1112250000006</x:v>
      </x:c>
    </x:row>
    <x:row r="20" ht="21" customHeight="1">
      <x:c r="A20" t="str">
        <x:v>CR-0016</x:v>
      </x:c>
      <x:c r="B20" t="str">
        <x:v>2023-04-10</x:v>
      </x:c>
      <x:c r="C20" t="str">
        <x:v>Particuliers</x:v>
      </x:c>
      <x:c r="D20" t="str">
        <x:v>Équipement</x:v>
      </x:c>
      <x:c r="E20" t="str">
        <x:v>Tanger</x:v>
      </x:c>
      <x:c r="F20" s="14" t="n">
        <x:v>70773.28</x:v>
      </x:c>
      <x:c r="G20" t="n">
        <x:v>36</x:v>
      </x:c>
      <x:c r="H20" t="n">
        <x:v>10.08</x:v>
      </x:c>
      <x:c r="I20" t="n">
        <x:v>0</x:v>
      </x:c>
      <x:c r="J20" t="str">
        <x:v>À jour</x:v>
      </x:c>
      <x:c r="K20" s="16" t="n">
        <x:v>0.0409</x:v>
      </x:c>
      <x:c r="L20" s="16" t="n">
        <x:v>0.4</x:v>
      </x:c>
      <x:c r="M20" t="str">
        <x:v>B</x:v>
      </x:c>
      <x:c r="N20" s="14" t="n">
        <x:f>F20*K20*L20</x:f>
        <x:v>1157.8508608</x:v>
      </x:c>
      <x:c r="O20" s="14" t="n">
        <x:f>F20*K20</x:f>
        <x:v>2894.627152</x:v>
      </x:c>
    </x:row>
    <x:row r="21" ht="21" customHeight="1">
      <x:c r="A21" t="str">
        <x:v>CR-0017</x:v>
      </x:c>
      <x:c r="B21" t="str">
        <x:v>2024-05-10</x:v>
      </x:c>
      <x:c r="C21" t="str">
        <x:v>Particuliers</x:v>
      </x:c>
      <x:c r="D21" t="str">
        <x:v>Habitat</x:v>
      </x:c>
      <x:c r="E21" t="str">
        <x:v>Tanger</x:v>
      </x:c>
      <x:c r="F21" s="14" t="n">
        <x:v>55133.35</x:v>
      </x:c>
      <x:c r="G21" t="n">
        <x:v>48</x:v>
      </x:c>
      <x:c r="H21" t="n">
        <x:v>4.74</x:v>
      </x:c>
      <x:c r="I21" t="n">
        <x:v>0</x:v>
      </x:c>
      <x:c r="J21" t="str">
        <x:v>À jour</x:v>
      </x:c>
      <x:c r="K21" s="16" t="n">
        <x:v>0.0384</x:v>
      </x:c>
      <x:c r="L21" s="16" t="n">
        <x:v>0.2</x:v>
      </x:c>
      <x:c r="M21" t="str">
        <x:v>B</x:v>
      </x:c>
      <x:c r="N21" s="14" t="n">
        <x:f>F21*K21*L21</x:f>
        <x:v>423.42412799999994</x:v>
      </x:c>
      <x:c r="O21" s="14" t="n">
        <x:f>F21*K21</x:f>
        <x:v>2117.1206399999996</x:v>
      </x:c>
    </x:row>
    <x:row r="22" ht="21" customHeight="1">
      <x:c r="A22" t="str">
        <x:v>CR-0018</x:v>
      </x:c>
      <x:c r="B22" t="str">
        <x:v>2025-06-10</x:v>
      </x:c>
      <x:c r="C22" t="str">
        <x:v>Particuliers</x:v>
      </x:c>
      <x:c r="D22" t="str">
        <x:v>Investissement</x:v>
      </x:c>
      <x:c r="E22" t="str">
        <x:v>Rabat</x:v>
      </x:c>
      <x:c r="F22" s="14" t="n">
        <x:v>46294.56</x:v>
      </x:c>
      <x:c r="G22" t="n">
        <x:v>48</x:v>
      </x:c>
      <x:c r="H22" t="n">
        <x:v>9.27</x:v>
      </x:c>
      <x:c r="I22" t="n">
        <x:v>0</x:v>
      </x:c>
      <x:c r="J22" t="str">
        <x:v>À jour</x:v>
      </x:c>
      <x:c r="K22" s="16" t="n">
        <x:v>0.0399</x:v>
      </x:c>
      <x:c r="L22" s="16" t="n">
        <x:v>0.45</x:v>
      </x:c>
      <x:c r="M22" t="str">
        <x:v>B</x:v>
      </x:c>
      <x:c r="N22" s="14" t="n">
        <x:f>F22*K22*L22</x:f>
        <x:v>831.2188247999999</x:v>
      </x:c>
      <x:c r="O22" s="14" t="n">
        <x:f>F22*K22</x:f>
        <x:v>1847.1529439999997</x:v>
      </x:c>
    </x:row>
    <x:row r="23" ht="21" customHeight="1">
      <x:c r="A23" t="str">
        <x:v>CR-0019</x:v>
      </x:c>
      <x:c r="B23" t="str">
        <x:v>2023-07-10</x:v>
      </x:c>
      <x:c r="C23" t="str">
        <x:v>Particuliers</x:v>
      </x:c>
      <x:c r="D23" t="str">
        <x:v>Trésorerie</x:v>
      </x:c>
      <x:c r="E23" t="str">
        <x:v>Marrakech</x:v>
      </x:c>
      <x:c r="F23" s="14" t="n">
        <x:v>76107.44</x:v>
      </x:c>
      <x:c r="G23" t="n">
        <x:v>48</x:v>
      </x:c>
      <x:c r="H23" t="n">
        <x:v>7.54</x:v>
      </x:c>
      <x:c r="I23" t="n">
        <x:v>0</x:v>
      </x:c>
      <x:c r="J23" t="str">
        <x:v>À jour</x:v>
      </x:c>
      <x:c r="K23" s="16" t="n">
        <x:v>0.0089</x:v>
      </x:c>
      <x:c r="L23" s="16" t="n">
        <x:v>0.6</x:v>
      </x:c>
      <x:c r="M23" t="str">
        <x:v>A</x:v>
      </x:c>
      <x:c r="N23" s="14" t="n">
        <x:f>F23*K23*L23</x:f>
        <x:v>406.4137296</x:v>
      </x:c>
      <x:c r="O23" s="14" t="n">
        <x:f>F23*K23</x:f>
        <x:v>677.356216</x:v>
      </x:c>
    </x:row>
    <x:row r="24" ht="21" customHeight="1">
      <x:c r="A24" t="str">
        <x:v>CR-0020</x:v>
      </x:c>
      <x:c r="B24" t="str">
        <x:v>2024-08-10</x:v>
      </x:c>
      <x:c r="C24" t="str">
        <x:v>TPE</x:v>
      </x:c>
      <x:c r="D24" t="str">
        <x:v>Trésorerie</x:v>
      </x:c>
      <x:c r="E24" t="str">
        <x:v>Tanger</x:v>
      </x:c>
      <x:c r="F24" s="14" t="n">
        <x:v>111654.83</x:v>
      </x:c>
      <x:c r="G24" t="n">
        <x:v>48</x:v>
      </x:c>
      <x:c r="H24" t="n">
        <x:v>5.06</x:v>
      </x:c>
      <x:c r="I24" t="n">
        <x:v>0</x:v>
      </x:c>
      <x:c r="J24" t="str">
        <x:v>À jour</x:v>
      </x:c>
      <x:c r="K24" s="16" t="n">
        <x:v>0.0188</x:v>
      </x:c>
      <x:c r="L24" s="16" t="n">
        <x:v>0.6</x:v>
      </x:c>
      <x:c r="M24" t="str">
        <x:v>A</x:v>
      </x:c>
      <x:c r="N24" s="14" t="n">
        <x:f>F24*K24*L24</x:f>
        <x:v>1259.4664824</x:v>
      </x:c>
      <x:c r="O24" s="14" t="n">
        <x:f>F24*K24</x:f>
        <x:v>2099.110804</x:v>
      </x:c>
    </x:row>
    <x:row r="25" ht="21" customHeight="1">
      <x:c r="A25" t="str">
        <x:v>CR-0021</x:v>
      </x:c>
      <x:c r="B25" t="str">
        <x:v>2025-09-10</x:v>
      </x:c>
      <x:c r="C25" t="str">
        <x:v>TPE</x:v>
      </x:c>
      <x:c r="D25" t="str">
        <x:v>Consommation</x:v>
      </x:c>
      <x:c r="E25" t="str">
        <x:v>Tanger</x:v>
      </x:c>
      <x:c r="F25" s="14" t="n">
        <x:v>107714.32</x:v>
      </x:c>
      <x:c r="G25" t="n">
        <x:v>84</x:v>
      </x:c>
      <x:c r="H25" t="n">
        <x:v>7.02</x:v>
      </x:c>
      <x:c r="I25" t="n">
        <x:v>0</x:v>
      </x:c>
      <x:c r="J25" t="str">
        <x:v>À jour</x:v>
      </x:c>
      <x:c r="K25" s="16" t="n">
        <x:v>0.0355</x:v>
      </x:c>
      <x:c r="L25" s="16" t="n">
        <x:v>0.7</x:v>
      </x:c>
      <x:c r="M25" t="str">
        <x:v>B</x:v>
      </x:c>
      <x:c r="N25" s="14" t="n">
        <x:f>F25*K25*L25</x:f>
        <x:v>2676.7008519999995</x:v>
      </x:c>
      <x:c r="O25" s="14" t="n">
        <x:f>F25*K25</x:f>
        <x:v>3823.8583599999997</x:v>
      </x:c>
    </x:row>
    <x:row r="26" ht="21" customHeight="1">
      <x:c r="A26" t="str">
        <x:v>CR-0022</x:v>
      </x:c>
      <x:c r="B26" t="str">
        <x:v>2023-10-10</x:v>
      </x:c>
      <x:c r="C26" t="str">
        <x:v>TPE</x:v>
      </x:c>
      <x:c r="D26" t="str">
        <x:v>Consommation</x:v>
      </x:c>
      <x:c r="E26" t="str">
        <x:v>Rabat</x:v>
      </x:c>
      <x:c r="F26" s="14" t="n">
        <x:v>87224.97</x:v>
      </x:c>
      <x:c r="G26" t="n">
        <x:v>48</x:v>
      </x:c>
      <x:c r="H26" t="n">
        <x:v>5.64</x:v>
      </x:c>
      <x:c r="I26" t="n">
        <x:v>0</x:v>
      </x:c>
      <x:c r="J26" t="str">
        <x:v>À jour</x:v>
      </x:c>
      <x:c r="K26" s="16" t="n">
        <x:v>0.028</x:v>
      </x:c>
      <x:c r="L26" s="16" t="n">
        <x:v>0.7</x:v>
      </x:c>
      <x:c r="M26" t="str">
        <x:v>B</x:v>
      </x:c>
      <x:c r="N26" s="14" t="n">
        <x:f>F26*K26*L26</x:f>
        <x:v>1709.609412</x:v>
      </x:c>
      <x:c r="O26" s="14" t="n">
        <x:f>F26*K26</x:f>
        <x:v>2442.29916</x:v>
      </x:c>
    </x:row>
    <x:row r="27" ht="21" customHeight="1">
      <x:c r="A27" t="str">
        <x:v>CR-0023</x:v>
      </x:c>
      <x:c r="B27" t="str">
        <x:v>2024-11-10</x:v>
      </x:c>
      <x:c r="C27" t="str">
        <x:v>PME</x:v>
      </x:c>
      <x:c r="D27" t="str">
        <x:v>Équipement</x:v>
      </x:c>
      <x:c r="E27" t="str">
        <x:v>Tanger</x:v>
      </x:c>
      <x:c r="F27" s="14" t="n">
        <x:v>106583.12</x:v>
      </x:c>
      <x:c r="G27" t="n">
        <x:v>84</x:v>
      </x:c>
      <x:c r="H27" t="n">
        <x:v>9.35</x:v>
      </x:c>
      <x:c r="I27" t="n">
        <x:v>0</x:v>
      </x:c>
      <x:c r="J27" t="str">
        <x:v>À jour</x:v>
      </x:c>
      <x:c r="K27" s="16" t="n">
        <x:v>0.0118</x:v>
      </x:c>
      <x:c r="L27" s="16" t="n">
        <x:v>0.4</x:v>
      </x:c>
      <x:c r="M27" t="str">
        <x:v>A</x:v>
      </x:c>
      <x:c r="N27" s="14" t="n">
        <x:f>F27*K27*L27</x:f>
        <x:v>503.07232639999995</x:v>
      </x:c>
      <x:c r="O27" s="14" t="n">
        <x:f>F27*K27</x:f>
        <x:v>1257.6808159999998</x:v>
      </x:c>
    </x:row>
    <x:row r="28" ht="21" customHeight="1">
      <x:c r="A28" t="str">
        <x:v>CR-0024</x:v>
      </x:c>
      <x:c r="B28" t="str">
        <x:v>2025-12-10</x:v>
      </x:c>
      <x:c r="C28" t="str">
        <x:v>Particuliers</x:v>
      </x:c>
      <x:c r="D28" t="str">
        <x:v>Équipement</x:v>
      </x:c>
      <x:c r="E28" t="str">
        <x:v>Tanger</x:v>
      </x:c>
      <x:c r="F28" s="14" t="n">
        <x:v>63857.12</x:v>
      </x:c>
      <x:c r="G28" t="n">
        <x:v>36</x:v>
      </x:c>
      <x:c r="H28" t="n">
        <x:v>7.38</x:v>
      </x:c>
      <x:c r="I28" t="n">
        <x:v>0</x:v>
      </x:c>
      <x:c r="J28" t="str">
        <x:v>À jour</x:v>
      </x:c>
      <x:c r="K28" s="16" t="n">
        <x:v>0.0415</x:v>
      </x:c>
      <x:c r="L28" s="16" t="n">
        <x:v>0.4</x:v>
      </x:c>
      <x:c r="M28" t="str">
        <x:v>B</x:v>
      </x:c>
      <x:c r="N28" s="14" t="n">
        <x:f>F28*K28*L28</x:f>
        <x:v>1060.0281920000002</x:v>
      </x:c>
      <x:c r="O28" s="14" t="n">
        <x:f>F28*K28</x:f>
        <x:v>2650.0704800000003</x:v>
      </x:c>
    </x:row>
    <x:row r="29" ht="21" customHeight="1">
      <x:c r="A29" t="str">
        <x:v>CR-0025</x:v>
      </x:c>
      <x:c r="B29" t="str">
        <x:v>2023-01-10</x:v>
      </x:c>
      <x:c r="C29" t="str">
        <x:v>Particuliers</x:v>
      </x:c>
      <x:c r="D29" t="str">
        <x:v>Trésorerie</x:v>
      </x:c>
      <x:c r="E29" t="str">
        <x:v>Tanger</x:v>
      </x:c>
      <x:c r="F29" s="14" t="n">
        <x:v>45087.03</x:v>
      </x:c>
      <x:c r="G29" t="n">
        <x:v>24</x:v>
      </x:c>
      <x:c r="H29" t="n">
        <x:v>5.33</x:v>
      </x:c>
      <x:c r="I29" t="n">
        <x:v>0</x:v>
      </x:c>
      <x:c r="J29" t="str">
        <x:v>À jour</x:v>
      </x:c>
      <x:c r="K29" s="16" t="n">
        <x:v>0.0373</x:v>
      </x:c>
      <x:c r="L29" s="16" t="n">
        <x:v>0.6</x:v>
      </x:c>
      <x:c r="M29" t="str">
        <x:v>B</x:v>
      </x:c>
      <x:c r="N29" s="14" t="n">
        <x:f>F29*K29*L29</x:f>
        <x:v>1009.0477313999999</x:v>
      </x:c>
      <x:c r="O29" s="14" t="n">
        <x:f>F29*K29</x:f>
        <x:v>1681.7462189999999</x:v>
      </x:c>
    </x:row>
    <x:row r="30" ht="21" customHeight="1">
      <x:c r="A30" t="str">
        <x:v>CR-0026</x:v>
      </x:c>
      <x:c r="B30" t="str">
        <x:v>2024-02-10</x:v>
      </x:c>
      <x:c r="C30" t="str">
        <x:v>TPE</x:v>
      </x:c>
      <x:c r="D30" t="str">
        <x:v>Trésorerie</x:v>
      </x:c>
      <x:c r="E30" t="str">
        <x:v>Casablanca</x:v>
      </x:c>
      <x:c r="F30" s="14" t="n">
        <x:v>45466.31</x:v>
      </x:c>
      <x:c r="G30" t="n">
        <x:v>60</x:v>
      </x:c>
      <x:c r="H30" t="n">
        <x:v>6.83</x:v>
      </x:c>
      <x:c r="I30" t="n">
        <x:v>0</x:v>
      </x:c>
      <x:c r="J30" t="str">
        <x:v>À jour</x:v>
      </x:c>
      <x:c r="K30" s="16" t="n">
        <x:v>0.0367</x:v>
      </x:c>
      <x:c r="L30" s="16" t="n">
        <x:v>0.6</x:v>
      </x:c>
      <x:c r="M30" t="str">
        <x:v>B</x:v>
      </x:c>
      <x:c r="N30" s="14" t="n">
        <x:f>F30*K30*L30</x:f>
        <x:v>1001.1681462</x:v>
      </x:c>
      <x:c r="O30" s="14" t="n">
        <x:f>F30*K30</x:f>
        <x:v>1668.613577</x:v>
      </x:c>
    </x:row>
    <x:row r="31" ht="21" customHeight="1">
      <x:c r="A31" t="str">
        <x:v>CR-0027</x:v>
      </x:c>
      <x:c r="B31" t="str">
        <x:v>2025-03-10</x:v>
      </x:c>
      <x:c r="C31" t="str">
        <x:v>PME</x:v>
      </x:c>
      <x:c r="D31" t="str">
        <x:v>Trésorerie</x:v>
      </x:c>
      <x:c r="E31" t="str">
        <x:v>Fès</x:v>
      </x:c>
      <x:c r="F31" s="14" t="n">
        <x:v>47242.04</x:v>
      </x:c>
      <x:c r="G31" t="n">
        <x:v>36</x:v>
      </x:c>
      <x:c r="H31" t="n">
        <x:v>5.28</x:v>
      </x:c>
      <x:c r="I31" t="n">
        <x:v>0</x:v>
      </x:c>
      <x:c r="J31" t="str">
        <x:v>À jour</x:v>
      </x:c>
      <x:c r="K31" s="16" t="n">
        <x:v>0.0627</x:v>
      </x:c>
      <x:c r="L31" s="16" t="n">
        <x:v>0.6</x:v>
      </x:c>
      <x:c r="M31" t="str">
        <x:v>C</x:v>
      </x:c>
      <x:c r="N31" s="14" t="n">
        <x:f>F31*K31*L31</x:f>
        <x:v>1777.2455448</x:v>
      </x:c>
      <x:c r="O31" s="14" t="n">
        <x:f>F31*K31</x:f>
        <x:v>2962.0759080000003</x:v>
      </x:c>
    </x:row>
    <x:row r="32" ht="21" customHeight="1">
      <x:c r="A32" t="str">
        <x:v>CR-0028</x:v>
      </x:c>
      <x:c r="B32" t="str">
        <x:v>2023-04-10</x:v>
      </x:c>
      <x:c r="C32" t="str">
        <x:v>Particuliers</x:v>
      </x:c>
      <x:c r="D32" t="str">
        <x:v>Consommation</x:v>
      </x:c>
      <x:c r="E32" t="str">
        <x:v>Fès</x:v>
      </x:c>
      <x:c r="F32" s="14" t="n">
        <x:v>42410.77</x:v>
      </x:c>
      <x:c r="G32" t="n">
        <x:v>24</x:v>
      </x:c>
      <x:c r="H32" t="n">
        <x:v>5.81</x:v>
      </x:c>
      <x:c r="I32" t="n">
        <x:v>0</x:v>
      </x:c>
      <x:c r="J32" t="str">
        <x:v>À jour</x:v>
      </x:c>
      <x:c r="K32" s="16" t="n">
        <x:v>0.0598</x:v>
      </x:c>
      <x:c r="L32" s="16" t="n">
        <x:v>0.7</x:v>
      </x:c>
      <x:c r="M32" t="str">
        <x:v>C</x:v>
      </x:c>
      <x:c r="N32" s="14" t="n">
        <x:f>F32*K32*L32</x:f>
        <x:v>1775.3148321999997</x:v>
      </x:c>
      <x:c r="O32" s="14" t="n">
        <x:f>F32*K32</x:f>
        <x:v>2536.164046</x:v>
      </x:c>
    </x:row>
    <x:row r="33" ht="21" customHeight="1">
      <x:c r="A33" t="str">
        <x:v>CR-0029</x:v>
      </x:c>
      <x:c r="B33" t="str">
        <x:v>2024-05-10</x:v>
      </x:c>
      <x:c r="C33" t="str">
        <x:v>PME</x:v>
      </x:c>
      <x:c r="D33" t="str">
        <x:v>Investissement</x:v>
      </x:c>
      <x:c r="E33" t="str">
        <x:v>Marrakech</x:v>
      </x:c>
      <x:c r="F33" s="14" t="n">
        <x:v>72716.01</x:v>
      </x:c>
      <x:c r="G33" t="n">
        <x:v>120</x:v>
      </x:c>
      <x:c r="H33" t="n">
        <x:v>6.39</x:v>
      </x:c>
      <x:c r="I33" t="n">
        <x:v>0</x:v>
      </x:c>
      <x:c r="J33" t="str">
        <x:v>À jour</x:v>
      </x:c>
      <x:c r="K33" s="16" t="n">
        <x:v>0.0053</x:v>
      </x:c>
      <x:c r="L33" s="16" t="n">
        <x:v>0.45</x:v>
      </x:c>
      <x:c r="M33" t="str">
        <x:v>A</x:v>
      </x:c>
      <x:c r="N33" s="14" t="n">
        <x:f>F33*K33*L33</x:f>
        <x:v>173.42768385</x:v>
      </x:c>
      <x:c r="O33" s="14" t="n">
        <x:f>F33*K33</x:f>
        <x:v>385.39485299999996</x:v>
      </x:c>
    </x:row>
    <x:row r="34" ht="21" customHeight="1">
      <x:c r="A34" t="str">
        <x:v>CR-0030</x:v>
      </x:c>
      <x:c r="B34" t="str">
        <x:v>2025-06-10</x:v>
      </x:c>
      <x:c r="C34" t="str">
        <x:v>TPE</x:v>
      </x:c>
      <x:c r="D34" t="str">
        <x:v>Équipement</x:v>
      </x:c>
      <x:c r="E34" t="str">
        <x:v>Tanger</x:v>
      </x:c>
      <x:c r="F34" s="14" t="n">
        <x:v>94279.21</x:v>
      </x:c>
      <x:c r="G34" t="n">
        <x:v>60</x:v>
      </x:c>
      <x:c r="H34" t="n">
        <x:v>8.78</x:v>
      </x:c>
      <x:c r="I34" t="n">
        <x:v>0</x:v>
      </x:c>
      <x:c r="J34" t="str">
        <x:v>À jour</x:v>
      </x:c>
      <x:c r="K34" s="16" t="n">
        <x:v>0.0595</x:v>
      </x:c>
      <x:c r="L34" s="16" t="n">
        <x:v>0.4</x:v>
      </x:c>
      <x:c r="M34" t="str">
        <x:v>C</x:v>
      </x:c>
      <x:c r="N34" s="14" t="n">
        <x:f>F34*K34*L34</x:f>
        <x:v>2243.8451980000004</x:v>
      </x:c>
      <x:c r="O34" s="14" t="n">
        <x:f>F34*K34</x:f>
        <x:v>5609.612995</x:v>
      </x:c>
    </x:row>
    <x:row r="35" ht="21" customHeight="1">
      <x:c r="A35" t="str">
        <x:v>CR-0031</x:v>
      </x:c>
      <x:c r="B35" t="str">
        <x:v>2023-07-10</x:v>
      </x:c>
      <x:c r="C35" t="str">
        <x:v>Professionnels</x:v>
      </x:c>
      <x:c r="D35" t="str">
        <x:v>Investissement</x:v>
      </x:c>
      <x:c r="E35" t="str">
        <x:v>Marrakech</x:v>
      </x:c>
      <x:c r="F35" s="14" t="n">
        <x:v>97283.62</x:v>
      </x:c>
      <x:c r="G35" t="n">
        <x:v>48</x:v>
      </x:c>
      <x:c r="H35" t="n">
        <x:v>8.25</x:v>
      </x:c>
      <x:c r="I35" t="n">
        <x:v>0</x:v>
      </x:c>
      <x:c r="J35" t="str">
        <x:v>À jour</x:v>
      </x:c>
      <x:c r="K35" s="16" t="n">
        <x:v>0.0069</x:v>
      </x:c>
      <x:c r="L35" s="16" t="n">
        <x:v>0.45</x:v>
      </x:c>
      <x:c r="M35" t="str">
        <x:v>A</x:v>
      </x:c>
      <x:c r="N35" s="14" t="n">
        <x:f>F35*K35*L35</x:f>
        <x:v>302.0656401</x:v>
      </x:c>
      <x:c r="O35" s="14" t="n">
        <x:f>F35*K35</x:f>
        <x:v>671.256978</x:v>
      </x:c>
    </x:row>
    <x:row r="36" ht="21" customHeight="1">
      <x:c r="A36" t="str">
        <x:v>CR-0032</x:v>
      </x:c>
      <x:c r="B36" t="str">
        <x:v>2024-08-10</x:v>
      </x:c>
      <x:c r="C36" t="str">
        <x:v>Particuliers</x:v>
      </x:c>
      <x:c r="D36" t="str">
        <x:v>Investissement</x:v>
      </x:c>
      <x:c r="E36" t="str">
        <x:v>Tanger</x:v>
      </x:c>
      <x:c r="F36" s="14" t="n">
        <x:v>84802.11</x:v>
      </x:c>
      <x:c r="G36" t="n">
        <x:v>84</x:v>
      </x:c>
      <x:c r="H36" t="n">
        <x:v>5.49</x:v>
      </x:c>
      <x:c r="I36" t="n">
        <x:v>0</x:v>
      </x:c>
      <x:c r="J36" t="str">
        <x:v>À jour</x:v>
      </x:c>
      <x:c r="K36" s="16" t="n">
        <x:v>0.0416</x:v>
      </x:c>
      <x:c r="L36" s="16" t="n">
        <x:v>0.45</x:v>
      </x:c>
      <x:c r="M36" t="str">
        <x:v>B</x:v>
      </x:c>
      <x:c r="N36" s="14" t="n">
        <x:f>F36*K36*L36</x:f>
        <x:v>1587.4954991999998</x:v>
      </x:c>
      <x:c r="O36" s="14" t="n">
        <x:f>F36*K36</x:f>
        <x:v>3527.7677759999997</x:v>
      </x:c>
    </x:row>
    <x:row r="37" ht="21" customHeight="1">
      <x:c r="A37" t="str">
        <x:v>CR-0033</x:v>
      </x:c>
      <x:c r="B37" t="str">
        <x:v>2025-09-10</x:v>
      </x:c>
      <x:c r="C37" t="str">
        <x:v>Particuliers</x:v>
      </x:c>
      <x:c r="D37" t="str">
        <x:v>Habitat</x:v>
      </x:c>
      <x:c r="E37" t="str">
        <x:v>Rabat</x:v>
      </x:c>
      <x:c r="F37" s="14" t="n">
        <x:v>103480.08</x:v>
      </x:c>
      <x:c r="G37" t="n">
        <x:v>120</x:v>
      </x:c>
      <x:c r="H37" t="n">
        <x:v>4.87</x:v>
      </x:c>
      <x:c r="I37" t="n">
        <x:v>0</x:v>
      </x:c>
      <x:c r="J37" t="str">
        <x:v>À jour</x:v>
      </x:c>
      <x:c r="K37" s="16" t="n">
        <x:v>0.0268</x:v>
      </x:c>
      <x:c r="L37" s="16" t="n">
        <x:v>0.2</x:v>
      </x:c>
      <x:c r="M37" t="str">
        <x:v>B</x:v>
      </x:c>
      <x:c r="N37" s="14" t="n">
        <x:f>F37*K37*L37</x:f>
        <x:v>554.6532288000001</x:v>
      </x:c>
      <x:c r="O37" s="14" t="n">
        <x:f>F37*K37</x:f>
        <x:v>2773.266144</x:v>
      </x:c>
    </x:row>
    <x:row r="38" ht="21" customHeight="1">
      <x:c r="A38" t="str">
        <x:v>CR-0034</x:v>
      </x:c>
      <x:c r="B38" t="str">
        <x:v>2023-10-10</x:v>
      </x:c>
      <x:c r="C38" t="str">
        <x:v>Particuliers</x:v>
      </x:c>
      <x:c r="D38" t="str">
        <x:v>Trésorerie</x:v>
      </x:c>
      <x:c r="E38" t="str">
        <x:v>Rabat</x:v>
      </x:c>
      <x:c r="F38" s="14" t="n">
        <x:v>111216.52</x:v>
      </x:c>
      <x:c r="G38" t="n">
        <x:v>36</x:v>
      </x:c>
      <x:c r="H38" t="n">
        <x:v>9.88</x:v>
      </x:c>
      <x:c r="I38" t="n">
        <x:v>0</x:v>
      </x:c>
      <x:c r="J38" t="str">
        <x:v>À jour</x:v>
      </x:c>
      <x:c r="K38" s="16" t="n">
        <x:v>0.018</x:v>
      </x:c>
      <x:c r="L38" s="16" t="n">
        <x:v>0.6</x:v>
      </x:c>
      <x:c r="M38" t="str">
        <x:v>A</x:v>
      </x:c>
      <x:c r="N38" s="14" t="n">
        <x:f>F38*K38*L38</x:f>
        <x:v>1201.138416</x:v>
      </x:c>
      <x:c r="O38" s="14" t="n">
        <x:f>F38*K38</x:f>
        <x:v>2001.89736</x:v>
      </x:c>
    </x:row>
    <x:row r="39" ht="21" customHeight="1">
      <x:c r="A39" t="str">
        <x:v>CR-0035</x:v>
      </x:c>
      <x:c r="B39" t="str">
        <x:v>2024-11-10</x:v>
      </x:c>
      <x:c r="C39" t="str">
        <x:v>Particuliers</x:v>
      </x:c>
      <x:c r="D39" t="str">
        <x:v>Investissement</x:v>
      </x:c>
      <x:c r="E39" t="str">
        <x:v>Tanger</x:v>
      </x:c>
      <x:c r="F39" s="14" t="n">
        <x:v>103953.41</x:v>
      </x:c>
      <x:c r="G39" t="n">
        <x:v>60</x:v>
      </x:c>
      <x:c r="H39" t="n">
        <x:v>9.48</x:v>
      </x:c>
      <x:c r="I39" t="n">
        <x:v>0</x:v>
      </x:c>
      <x:c r="J39" t="str">
        <x:v>À jour</x:v>
      </x:c>
      <x:c r="K39" s="16" t="n">
        <x:v>0.02</x:v>
      </x:c>
      <x:c r="L39" s="16" t="n">
        <x:v>0.45</x:v>
      </x:c>
      <x:c r="M39" t="str">
        <x:v>B</x:v>
      </x:c>
      <x:c r="N39" s="14" t="n">
        <x:f>F39*K39*L39</x:f>
        <x:v>935.5806900000001</x:v>
      </x:c>
      <x:c r="O39" s="14" t="n">
        <x:f>F39*K39</x:f>
        <x:v>2079.0682</x:v>
      </x:c>
    </x:row>
    <x:row r="40" ht="21" customHeight="1">
      <x:c r="A40" t="str">
        <x:v>CR-0036</x:v>
      </x:c>
      <x:c r="B40" t="str">
        <x:v>2025-12-10</x:v>
      </x:c>
      <x:c r="C40" t="str">
        <x:v>Particuliers</x:v>
      </x:c>
      <x:c r="D40" t="str">
        <x:v>Trésorerie</x:v>
      </x:c>
      <x:c r="E40" t="str">
        <x:v>Fès</x:v>
      </x:c>
      <x:c r="F40" s="14" t="n">
        <x:v>40727.94</x:v>
      </x:c>
      <x:c r="G40" t="n">
        <x:v>48</x:v>
      </x:c>
      <x:c r="H40" t="n">
        <x:v>5.34</x:v>
      </x:c>
      <x:c r="I40" t="n">
        <x:v>0</x:v>
      </x:c>
      <x:c r="J40" t="str">
        <x:v>À jour</x:v>
      </x:c>
      <x:c r="K40" s="16" t="n">
        <x:v>0.0056</x:v>
      </x:c>
      <x:c r="L40" s="16" t="n">
        <x:v>0.6</x:v>
      </x:c>
      <x:c r="M40" t="str">
        <x:v>A</x:v>
      </x:c>
      <x:c r="N40" s="14" t="n">
        <x:f>F40*K40*L40</x:f>
        <x:v>136.8458784</x:v>
      </x:c>
      <x:c r="O40" s="14" t="n">
        <x:f>F40*K40</x:f>
        <x:v>228.07646400000002</x:v>
      </x:c>
    </x:row>
    <x:row r="41" ht="21" customHeight="1">
      <x:c r="A41" t="str">
        <x:v>CR-0037</x:v>
      </x:c>
      <x:c r="B41" t="str">
        <x:v>2023-01-10</x:v>
      </x:c>
      <x:c r="C41" t="str">
        <x:v>Particuliers</x:v>
      </x:c>
      <x:c r="D41" t="str">
        <x:v>Équipement</x:v>
      </x:c>
      <x:c r="E41" t="str">
        <x:v>Tanger</x:v>
      </x:c>
      <x:c r="F41" s="14" t="n">
        <x:v>100559.93</x:v>
      </x:c>
      <x:c r="G41" t="n">
        <x:v>84</x:v>
      </x:c>
      <x:c r="H41" t="n">
        <x:v>5.08</x:v>
      </x:c>
      <x:c r="I41" t="n">
        <x:v>0</x:v>
      </x:c>
      <x:c r="J41" t="str">
        <x:v>À jour</x:v>
      </x:c>
      <x:c r="K41" s="16" t="n">
        <x:v>0.0129</x:v>
      </x:c>
      <x:c r="L41" s="16" t="n">
        <x:v>0.4</x:v>
      </x:c>
      <x:c r="M41" t="str">
        <x:v>A</x:v>
      </x:c>
      <x:c r="N41" s="14" t="n">
        <x:f>F41*K41*L41</x:f>
        <x:v>518.8892387999999</x:v>
      </x:c>
      <x:c r="O41" s="14" t="n">
        <x:f>F41*K41</x:f>
        <x:v>1297.2230969999998</x:v>
      </x:c>
    </x:row>
    <x:row r="42" ht="21" customHeight="1">
      <x:c r="A42" t="str">
        <x:v>CR-0038</x:v>
      </x:c>
      <x:c r="B42" t="str">
        <x:v>2024-02-10</x:v>
      </x:c>
      <x:c r="C42" t="str">
        <x:v>Particuliers</x:v>
      </x:c>
      <x:c r="D42" t="str">
        <x:v>Consommation</x:v>
      </x:c>
      <x:c r="E42" t="str">
        <x:v>Tanger</x:v>
      </x:c>
      <x:c r="F42" s="14" t="n">
        <x:v>45681.95</x:v>
      </x:c>
      <x:c r="G42" t="n">
        <x:v>84</x:v>
      </x:c>
      <x:c r="H42" t="n">
        <x:v>6.56</x:v>
      </x:c>
      <x:c r="I42" t="n">
        <x:v>0</x:v>
      </x:c>
      <x:c r="J42" t="str">
        <x:v>À jour</x:v>
      </x:c>
      <x:c r="K42" s="16" t="n">
        <x:v>0.0329</x:v>
      </x:c>
      <x:c r="L42" s="16" t="n">
        <x:v>0.7</x:v>
      </x:c>
      <x:c r="M42" t="str">
        <x:v>B</x:v>
      </x:c>
      <x:c r="N42" s="14" t="n">
        <x:f>F42*K42*L42</x:f>
        <x:v>1052.0553085</x:v>
      </x:c>
      <x:c r="O42" s="14" t="n">
        <x:f>F42*K42</x:f>
        <x:v>1502.9361549999999</x:v>
      </x:c>
    </x:row>
    <x:row r="43" ht="21" customHeight="1">
      <x:c r="A43" t="str">
        <x:v>CR-0039</x:v>
      </x:c>
      <x:c r="B43" t="str">
        <x:v>2025-03-10</x:v>
      </x:c>
      <x:c r="C43" t="str">
        <x:v>Particuliers</x:v>
      </x:c>
      <x:c r="D43" t="str">
        <x:v>Trésorerie</x:v>
      </x:c>
      <x:c r="E43" t="str">
        <x:v>Fès</x:v>
      </x:c>
      <x:c r="F43" s="14" t="n">
        <x:v>43472.41</x:v>
      </x:c>
      <x:c r="G43" t="n">
        <x:v>48</x:v>
      </x:c>
      <x:c r="H43" t="n">
        <x:v>4.15</x:v>
      </x:c>
      <x:c r="I43" t="n">
        <x:v>0</x:v>
      </x:c>
      <x:c r="J43" t="str">
        <x:v>À jour</x:v>
      </x:c>
      <x:c r="K43" s="16" t="n">
        <x:v>0.0423</x:v>
      </x:c>
      <x:c r="L43" s="16" t="n">
        <x:v>0.6</x:v>
      </x:c>
      <x:c r="M43" t="str">
        <x:v>B</x:v>
      </x:c>
      <x:c r="N43" s="14" t="n">
        <x:f>F43*K43*L43</x:f>
        <x:v>1103.3297658</x:v>
      </x:c>
      <x:c r="O43" s="14" t="n">
        <x:f>F43*K43</x:f>
        <x:v>1838.882943</x:v>
      </x:c>
    </x:row>
    <x:row r="44" ht="21" customHeight="1">
      <x:c r="A44" t="str">
        <x:v>CR-0040</x:v>
      </x:c>
      <x:c r="B44" t="str">
        <x:v>2023-04-10</x:v>
      </x:c>
      <x:c r="C44" t="str">
        <x:v>Particuliers</x:v>
      </x:c>
      <x:c r="D44" t="str">
        <x:v>Consommation</x:v>
      </x:c>
      <x:c r="E44" t="str">
        <x:v>Marrakech</x:v>
      </x:c>
      <x:c r="F44" s="14" t="n">
        <x:v>66933.29</x:v>
      </x:c>
      <x:c r="G44" t="n">
        <x:v>84</x:v>
      </x:c>
      <x:c r="H44" t="n">
        <x:v>4.86</x:v>
      </x:c>
      <x:c r="I44" t="n">
        <x:v>0</x:v>
      </x:c>
      <x:c r="J44" t="str">
        <x:v>À jour</x:v>
      </x:c>
      <x:c r="K44" s="16" t="n">
        <x:v>0.0535</x:v>
      </x:c>
      <x:c r="L44" s="16" t="n">
        <x:v>0.7</x:v>
      </x:c>
      <x:c r="M44" t="str">
        <x:v>C</x:v>
      </x:c>
      <x:c r="N44" s="14" t="n">
        <x:f>F44*K44*L44</x:f>
        <x:v>2506.6517105</x:v>
      </x:c>
      <x:c r="O44" s="14" t="n">
        <x:f>F44*K44</x:f>
        <x:v>3580.9310149999997</x:v>
      </x:c>
    </x:row>
    <x:row r="45" ht="21" customHeight="1">
      <x:c r="A45" t="str">
        <x:v>CR-0041</x:v>
      </x:c>
      <x:c r="B45" t="str">
        <x:v>2024-05-10</x:v>
      </x:c>
      <x:c r="C45" t="str">
        <x:v>TPE</x:v>
      </x:c>
      <x:c r="D45" t="str">
        <x:v>Trésorerie</x:v>
      </x:c>
      <x:c r="E45" t="str">
        <x:v>Rabat</x:v>
      </x:c>
      <x:c r="F45" s="14" t="n">
        <x:v>90014.98</x:v>
      </x:c>
      <x:c r="G45" t="n">
        <x:v>84</x:v>
      </x:c>
      <x:c r="H45" t="n">
        <x:v>7.2</x:v>
      </x:c>
      <x:c r="I45" t="n">
        <x:v>0</x:v>
      </x:c>
      <x:c r="J45" t="str">
        <x:v>À jour</x:v>
      </x:c>
      <x:c r="K45" s="16" t="n">
        <x:v>0.0515</x:v>
      </x:c>
      <x:c r="L45" s="16" t="n">
        <x:v>0.6</x:v>
      </x:c>
      <x:c r="M45" t="str">
        <x:v>C</x:v>
      </x:c>
      <x:c r="N45" s="14" t="n">
        <x:f>F45*K45*L45</x:f>
        <x:v>2781.462882</x:v>
      </x:c>
      <x:c r="O45" s="14" t="n">
        <x:f>F45*K45</x:f>
        <x:v>4635.77147</x:v>
      </x:c>
    </x:row>
    <x:row r="46" ht="21" customHeight="1">
      <x:c r="A46" t="str">
        <x:v>CR-0042</x:v>
      </x:c>
      <x:c r="B46" t="str">
        <x:v>2025-06-10</x:v>
      </x:c>
      <x:c r="C46" t="str">
        <x:v>Particuliers</x:v>
      </x:c>
      <x:c r="D46" t="str">
        <x:v>Consommation</x:v>
      </x:c>
      <x:c r="E46" t="str">
        <x:v>Tanger</x:v>
      </x:c>
      <x:c r="F46" s="14" t="n">
        <x:v>48455.01</x:v>
      </x:c>
      <x:c r="G46" t="n">
        <x:v>84</x:v>
      </x:c>
      <x:c r="H46" t="n">
        <x:v>3.9</x:v>
      </x:c>
      <x:c r="I46" t="n">
        <x:v>0</x:v>
      </x:c>
      <x:c r="J46" t="str">
        <x:v>À jour</x:v>
      </x:c>
      <x:c r="K46" s="16" t="n">
        <x:v>0.012</x:v>
      </x:c>
      <x:c r="L46" s="16" t="n">
        <x:v>0.7</x:v>
      </x:c>
      <x:c r="M46" t="str">
        <x:v>A</x:v>
      </x:c>
      <x:c r="N46" s="14" t="n">
        <x:f>F46*K46*L46</x:f>
        <x:v>407.022084</x:v>
      </x:c>
      <x:c r="O46" s="14" t="n">
        <x:f>F46*K46</x:f>
        <x:v>581.4601200000001</x:v>
      </x:c>
    </x:row>
    <x:row r="47" ht="21" customHeight="1">
      <x:c r="A47" t="str">
        <x:v>CR-0043</x:v>
      </x:c>
      <x:c r="B47" t="str">
        <x:v>2023-07-10</x:v>
      </x:c>
      <x:c r="C47" t="str">
        <x:v>Particuliers</x:v>
      </x:c>
      <x:c r="D47" t="str">
        <x:v>Équipement</x:v>
      </x:c>
      <x:c r="E47" t="str">
        <x:v>Marrakech</x:v>
      </x:c>
      <x:c r="F47" s="14" t="n">
        <x:v>114063.34</x:v>
      </x:c>
      <x:c r="G47" t="n">
        <x:v>84</x:v>
      </x:c>
      <x:c r="H47" t="n">
        <x:v>5.31</x:v>
      </x:c>
      <x:c r="I47" t="n">
        <x:v>0</x:v>
      </x:c>
      <x:c r="J47" t="str">
        <x:v>À jour</x:v>
      </x:c>
      <x:c r="K47" s="16" t="n">
        <x:v>0.0427</x:v>
      </x:c>
      <x:c r="L47" s="16" t="n">
        <x:v>0.4</x:v>
      </x:c>
      <x:c r="M47" t="str">
        <x:v>B</x:v>
      </x:c>
      <x:c r="N47" s="14" t="n">
        <x:f>F47*K47*L47</x:f>
        <x:v>1948.2018472</x:v>
      </x:c>
      <x:c r="O47" s="14" t="n">
        <x:f>F47*K47</x:f>
        <x:v>4870.504618</x:v>
      </x:c>
    </x:row>
    <x:row r="48" ht="21" customHeight="1">
      <x:c r="A48" t="str">
        <x:v>CR-0044</x:v>
      </x:c>
      <x:c r="B48" t="str">
        <x:v>2024-08-10</x:v>
      </x:c>
      <x:c r="C48" t="str">
        <x:v>Professionnels</x:v>
      </x:c>
      <x:c r="D48" t="str">
        <x:v>Investissement</x:v>
      </x:c>
      <x:c r="E48" t="str">
        <x:v>Fès</x:v>
      </x:c>
      <x:c r="F48" s="14" t="n">
        <x:v>83667.33</x:v>
      </x:c>
      <x:c r="G48" t="n">
        <x:v>36</x:v>
      </x:c>
      <x:c r="H48" t="n">
        <x:v>6.48</x:v>
      </x:c>
      <x:c r="I48" t="n">
        <x:v>0</x:v>
      </x:c>
      <x:c r="J48" t="str">
        <x:v>À jour</x:v>
      </x:c>
      <x:c r="K48" s="16" t="n">
        <x:v>0.0052</x:v>
      </x:c>
      <x:c r="L48" s="16" t="n">
        <x:v>0.45</x:v>
      </x:c>
      <x:c r="M48" t="str">
        <x:v>A</x:v>
      </x:c>
      <x:c r="N48" s="14" t="n">
        <x:f>F48*K48*L48</x:f>
        <x:v>195.7815522</x:v>
      </x:c>
      <x:c r="O48" s="14" t="n">
        <x:f>F48*K48</x:f>
        <x:v>435.070116</x:v>
      </x:c>
    </x:row>
    <x:row r="49" ht="21" customHeight="1">
      <x:c r="A49" t="str">
        <x:v>CR-0045</x:v>
      </x:c>
      <x:c r="B49" t="str">
        <x:v>2025-09-10</x:v>
      </x:c>
      <x:c r="C49" t="str">
        <x:v>Particuliers</x:v>
      </x:c>
      <x:c r="D49" t="str">
        <x:v>Équipement</x:v>
      </x:c>
      <x:c r="E49" t="str">
        <x:v>Fès</x:v>
      </x:c>
      <x:c r="F49" s="14" t="n">
        <x:v>99983</x:v>
      </x:c>
      <x:c r="G49" t="n">
        <x:v>84</x:v>
      </x:c>
      <x:c r="H49" t="n">
        <x:v>5.84</x:v>
      </x:c>
      <x:c r="I49" t="n">
        <x:v>0</x:v>
      </x:c>
      <x:c r="J49" t="str">
        <x:v>À jour</x:v>
      </x:c>
      <x:c r="K49" s="16" t="n">
        <x:v>0.0444</x:v>
      </x:c>
      <x:c r="L49" s="16" t="n">
        <x:v>0.4</x:v>
      </x:c>
      <x:c r="M49" t="str">
        <x:v>B</x:v>
      </x:c>
      <x:c r="N49" s="14" t="n">
        <x:f>F49*K49*L49</x:f>
        <x:v>1775.6980800000001</x:v>
      </x:c>
      <x:c r="O49" s="14" t="n">
        <x:f>F49*K49</x:f>
        <x:v>4439.2452</x:v>
      </x:c>
    </x:row>
    <x:row r="50" ht="21" customHeight="1">
      <x:c r="A50" t="str">
        <x:v>CR-0046</x:v>
      </x:c>
      <x:c r="B50" t="str">
        <x:v>2023-10-10</x:v>
      </x:c>
      <x:c r="C50" t="str">
        <x:v>Particuliers</x:v>
      </x:c>
      <x:c r="D50" t="str">
        <x:v>Investissement</x:v>
      </x:c>
      <x:c r="E50" t="str">
        <x:v>Casablanca</x:v>
      </x:c>
      <x:c r="F50" s="14" t="n">
        <x:v>75298.64</x:v>
      </x:c>
      <x:c r="G50" t="n">
        <x:v>36</x:v>
      </x:c>
      <x:c r="H50" t="n">
        <x:v>6.22</x:v>
      </x:c>
      <x:c r="I50" t="n">
        <x:v>0</x:v>
      </x:c>
      <x:c r="J50" t="str">
        <x:v>À jour</x:v>
      </x:c>
      <x:c r="K50" s="16" t="n">
        <x:v>0.027</x:v>
      </x:c>
      <x:c r="L50" s="16" t="n">
        <x:v>0.45</x:v>
      </x:c>
      <x:c r="M50" t="str">
        <x:v>B</x:v>
      </x:c>
      <x:c r="N50" s="14" t="n">
        <x:f>F50*K50*L50</x:f>
        <x:v>914.878476</x:v>
      </x:c>
      <x:c r="O50" s="14" t="n">
        <x:f>F50*K50</x:f>
        <x:v>2033.0632799999998</x:v>
      </x:c>
    </x:row>
    <x:row r="51" ht="21" customHeight="1">
      <x:c r="A51" t="str">
        <x:v>CR-0047</x:v>
      </x:c>
      <x:c r="B51" t="str">
        <x:v>2024-11-10</x:v>
      </x:c>
      <x:c r="C51" t="str">
        <x:v>PME</x:v>
      </x:c>
      <x:c r="D51" t="str">
        <x:v>Trésorerie</x:v>
      </x:c>
      <x:c r="E51" t="str">
        <x:v>Tanger</x:v>
      </x:c>
      <x:c r="F51" s="14" t="n">
        <x:v>45389.93</x:v>
      </x:c>
      <x:c r="G51" t="n">
        <x:v>36</x:v>
      </x:c>
      <x:c r="H51" t="n">
        <x:v>7.21</x:v>
      </x:c>
      <x:c r="I51" t="n">
        <x:v>0</x:v>
      </x:c>
      <x:c r="J51" t="str">
        <x:v>À jour</x:v>
      </x:c>
      <x:c r="K51" s="16" t="n">
        <x:v>0.0252</x:v>
      </x:c>
      <x:c r="L51" s="16" t="n">
        <x:v>0.6</x:v>
      </x:c>
      <x:c r="M51" t="str">
        <x:v>B</x:v>
      </x:c>
      <x:c r="N51" s="14" t="n">
        <x:f>F51*K51*L51</x:f>
        <x:v>686.2957416</x:v>
      </x:c>
      <x:c r="O51" s="14" t="n">
        <x:f>F51*K51</x:f>
        <x:v>1143.826236</x:v>
      </x:c>
    </x:row>
    <x:row r="52" ht="21" customHeight="1">
      <x:c r="A52" t="str">
        <x:v>CR-0048</x:v>
      </x:c>
      <x:c r="B52" t="str">
        <x:v>2025-12-10</x:v>
      </x:c>
      <x:c r="C52" t="str">
        <x:v>Professionnels</x:v>
      </x:c>
      <x:c r="D52" t="str">
        <x:v>Habitat</x:v>
      </x:c>
      <x:c r="E52" t="str">
        <x:v>Casablanca</x:v>
      </x:c>
      <x:c r="F52" s="14" t="n">
        <x:v>97912.01</x:v>
      </x:c>
      <x:c r="G52" t="n">
        <x:v>48</x:v>
      </x:c>
      <x:c r="H52" t="n">
        <x:v>8.02</x:v>
      </x:c>
      <x:c r="I52" t="n">
        <x:v>0</x:v>
      </x:c>
      <x:c r="J52" t="str">
        <x:v>À jour</x:v>
      </x:c>
      <x:c r="K52" s="16" t="n">
        <x:v>0.0642</x:v>
      </x:c>
      <x:c r="L52" s="16" t="n">
        <x:v>0.2</x:v>
      </x:c>
      <x:c r="M52" t="str">
        <x:v>C</x:v>
      </x:c>
      <x:c r="N52" s="14" t="n">
        <x:f>F52*K52*L52</x:f>
        <x:v>1257.1902083999998</x:v>
      </x:c>
      <x:c r="O52" s="14" t="n">
        <x:f>F52*K52</x:f>
        <x:v>6285.951041999999</x:v>
      </x:c>
    </x:row>
    <x:row r="53" ht="21" customHeight="1">
      <x:c r="A53" t="str">
        <x:v>CR-0049</x:v>
      </x:c>
      <x:c r="B53" t="str">
        <x:v>2023-01-10</x:v>
      </x:c>
      <x:c r="C53" t="str">
        <x:v>TPE</x:v>
      </x:c>
      <x:c r="D53" t="str">
        <x:v>Consommation</x:v>
      </x:c>
      <x:c r="E53" t="str">
        <x:v>Rabat</x:v>
      </x:c>
      <x:c r="F53" s="14" t="n">
        <x:v>30775.62</x:v>
      </x:c>
      <x:c r="G53" t="n">
        <x:v>120</x:v>
      </x:c>
      <x:c r="H53" t="n">
        <x:v>10.03</x:v>
      </x:c>
      <x:c r="I53" t="n">
        <x:v>0</x:v>
      </x:c>
      <x:c r="J53" t="str">
        <x:v>À jour</x:v>
      </x:c>
      <x:c r="K53" s="16" t="n">
        <x:v>0.0509</x:v>
      </x:c>
      <x:c r="L53" s="16" t="n">
        <x:v>0.7</x:v>
      </x:c>
      <x:c r="M53" t="str">
        <x:v>C</x:v>
      </x:c>
      <x:c r="N53" s="14" t="n">
        <x:f>F53*K53*L53</x:f>
        <x:v>1096.5353406</x:v>
      </x:c>
      <x:c r="O53" s="14" t="n">
        <x:f>F53*K53</x:f>
        <x:v>1566.479058</x:v>
      </x:c>
    </x:row>
    <x:row r="54" ht="21" customHeight="1">
      <x:c r="A54" t="str">
        <x:v>CR-0050</x:v>
      </x:c>
      <x:c r="B54" t="str">
        <x:v>2024-02-10</x:v>
      </x:c>
      <x:c r="C54" t="str">
        <x:v>TPE</x:v>
      </x:c>
      <x:c r="D54" t="str">
        <x:v>Équipement</x:v>
      </x:c>
      <x:c r="E54" t="str">
        <x:v>Tanger</x:v>
      </x:c>
      <x:c r="F54" s="14" t="n">
        <x:v>111945.85</x:v>
      </x:c>
      <x:c r="G54" t="n">
        <x:v>60</x:v>
      </x:c>
      <x:c r="H54" t="n">
        <x:v>6.67</x:v>
      </x:c>
      <x:c r="I54" t="n">
        <x:v>0</x:v>
      </x:c>
      <x:c r="J54" t="str">
        <x:v>À jour</x:v>
      </x:c>
      <x:c r="K54" s="16" t="n">
        <x:v>0.0351</x:v>
      </x:c>
      <x:c r="L54" s="16" t="n">
        <x:v>0.4</x:v>
      </x:c>
      <x:c r="M54" t="str">
        <x:v>B</x:v>
      </x:c>
      <x:c r="N54" s="14" t="n">
        <x:f>F54*K54*L54</x:f>
        <x:v>1571.7197340000002</x:v>
      </x:c>
      <x:c r="O54" s="14" t="n">
        <x:f>F54*K54</x:f>
        <x:v>3929.299335</x:v>
      </x:c>
    </x:row>
    <x:row r="55" ht="21" customHeight="1">
      <x:c r="A55" t="str">
        <x:v>CR-0051</x:v>
      </x:c>
      <x:c r="B55" t="str">
        <x:v>2025-03-10</x:v>
      </x:c>
      <x:c r="C55" t="str">
        <x:v>Particuliers</x:v>
      </x:c>
      <x:c r="D55" t="str">
        <x:v>Équipement</x:v>
      </x:c>
      <x:c r="E55" t="str">
        <x:v>Casablanca</x:v>
      </x:c>
      <x:c r="F55" s="14" t="n">
        <x:v>53989.74</x:v>
      </x:c>
      <x:c r="G55" t="n">
        <x:v>60</x:v>
      </x:c>
      <x:c r="H55" t="n">
        <x:v>7.18</x:v>
      </x:c>
      <x:c r="I55" t="n">
        <x:v>0</x:v>
      </x:c>
      <x:c r="J55" t="str">
        <x:v>À jour</x:v>
      </x:c>
      <x:c r="K55" s="16" t="n">
        <x:v>0.007</x:v>
      </x:c>
      <x:c r="L55" s="16" t="n">
        <x:v>0.4</x:v>
      </x:c>
      <x:c r="M55" t="str">
        <x:v>A</x:v>
      </x:c>
      <x:c r="N55" s="14" t="n">
        <x:f>F55*K55*L55</x:f>
        <x:v>151.17127200000002</x:v>
      </x:c>
      <x:c r="O55" s="14" t="n">
        <x:f>F55*K55</x:f>
        <x:v>377.92818</x:v>
      </x:c>
    </x:row>
    <x:row r="56" ht="21" customHeight="1">
      <x:c r="A56" t="str">
        <x:v>CR-0052</x:v>
      </x:c>
      <x:c r="B56" t="str">
        <x:v>2023-04-10</x:v>
      </x:c>
      <x:c r="C56" t="str">
        <x:v>Particuliers</x:v>
      </x:c>
      <x:c r="D56" t="str">
        <x:v>Consommation</x:v>
      </x:c>
      <x:c r="E56" t="str">
        <x:v>Casablanca</x:v>
      </x:c>
      <x:c r="F56" s="14" t="n">
        <x:v>82514.78</x:v>
      </x:c>
      <x:c r="G56" t="n">
        <x:v>48</x:v>
      </x:c>
      <x:c r="H56" t="n">
        <x:v>5.57</x:v>
      </x:c>
      <x:c r="I56" t="n">
        <x:v>0</x:v>
      </x:c>
      <x:c r="J56" t="str">
        <x:v>À jour</x:v>
      </x:c>
      <x:c r="K56" s="16" t="n">
        <x:v>0.0437</x:v>
      </x:c>
      <x:c r="L56" s="16" t="n">
        <x:v>0.7</x:v>
      </x:c>
      <x:c r="M56" t="str">
        <x:v>B</x:v>
      </x:c>
      <x:c r="N56" s="14" t="n">
        <x:f>F56*K56*L56</x:f>
        <x:v>2524.1271202</x:v>
      </x:c>
      <x:c r="O56" s="14" t="n">
        <x:f>F56*K56</x:f>
        <x:v>3605.8958860000002</x:v>
      </x:c>
    </x:row>
    <x:row r="57" ht="21" customHeight="1">
      <x:c r="A57" t="str">
        <x:v>CR-0053</x:v>
      </x:c>
      <x:c r="B57" t="str">
        <x:v>2024-05-10</x:v>
      </x:c>
      <x:c r="C57" t="str">
        <x:v>Particuliers</x:v>
      </x:c>
      <x:c r="D57" t="str">
        <x:v>Habitat</x:v>
      </x:c>
      <x:c r="E57" t="str">
        <x:v>Fès</x:v>
      </x:c>
      <x:c r="F57" s="14" t="n">
        <x:v>60243.92</x:v>
      </x:c>
      <x:c r="G57" t="n">
        <x:v>48</x:v>
      </x:c>
      <x:c r="H57" t="n">
        <x:v>5.56</x:v>
      </x:c>
      <x:c r="I57" t="n">
        <x:v>0</x:v>
      </x:c>
      <x:c r="J57" t="str">
        <x:v>À jour</x:v>
      </x:c>
      <x:c r="K57" s="16" t="n">
        <x:v>0.0264</x:v>
      </x:c>
      <x:c r="L57" s="16" t="n">
        <x:v>0.2</x:v>
      </x:c>
      <x:c r="M57" t="str">
        <x:v>B</x:v>
      </x:c>
      <x:c r="N57" s="14" t="n">
        <x:f>F57*K57*L57</x:f>
        <x:v>318.0878976</x:v>
      </x:c>
      <x:c r="O57" s="14" t="n">
        <x:f>F57*K57</x:f>
        <x:v>1590.439488</x:v>
      </x:c>
    </x:row>
    <x:row r="58" ht="21" customHeight="1">
      <x:c r="A58" t="str">
        <x:v>CR-0054</x:v>
      </x:c>
      <x:c r="B58" t="str">
        <x:v>2025-06-10</x:v>
      </x:c>
      <x:c r="C58" t="str">
        <x:v>Particuliers</x:v>
      </x:c>
      <x:c r="D58" t="str">
        <x:v>Trésorerie</x:v>
      </x:c>
      <x:c r="E58" t="str">
        <x:v>Fès</x:v>
      </x:c>
      <x:c r="F58" s="14" t="n">
        <x:v>62601.69</x:v>
      </x:c>
      <x:c r="G58" t="n">
        <x:v>120</x:v>
      </x:c>
      <x:c r="H58" t="n">
        <x:v>4.75</x:v>
      </x:c>
      <x:c r="I58" t="n">
        <x:v>0</x:v>
      </x:c>
      <x:c r="J58" t="str">
        <x:v>À jour</x:v>
      </x:c>
      <x:c r="K58" s="16" t="n">
        <x:v>0.0544</x:v>
      </x:c>
      <x:c r="L58" s="16" t="n">
        <x:v>0.6</x:v>
      </x:c>
      <x:c r="M58" t="str">
        <x:v>C</x:v>
      </x:c>
      <x:c r="N58" s="14" t="n">
        <x:f>F58*K58*L58</x:f>
        <x:v>2043.3191616</x:v>
      </x:c>
      <x:c r="O58" s="14" t="n">
        <x:f>F58*K58</x:f>
        <x:v>3405.531936</x:v>
      </x:c>
    </x:row>
    <x:row r="59" ht="21" customHeight="1">
      <x:c r="A59" t="str">
        <x:v>CR-0055</x:v>
      </x:c>
      <x:c r="B59" t="str">
        <x:v>2023-07-10</x:v>
      </x:c>
      <x:c r="C59" t="str">
        <x:v>TPE</x:v>
      </x:c>
      <x:c r="D59" t="str">
        <x:v>Équipement</x:v>
      </x:c>
      <x:c r="E59" t="str">
        <x:v>Tanger</x:v>
      </x:c>
      <x:c r="F59" s="14" t="n">
        <x:v>51616.38</x:v>
      </x:c>
      <x:c r="G59" t="n">
        <x:v>36</x:v>
      </x:c>
      <x:c r="H59" t="n">
        <x:v>9.36</x:v>
      </x:c>
      <x:c r="I59" t="n">
        <x:v>65</x:v>
      </x:c>
      <x:c r="J59" t="str">
        <x:v>Impayé</x:v>
      </x:c>
      <x:c r="K59" s="16" t="n">
        <x:v>0.1487</x:v>
      </x:c>
      <x:c r="L59" s="16" t="n">
        <x:v>0.4</x:v>
      </x:c>
      <x:c r="M59" t="str">
        <x:v>D</x:v>
      </x:c>
      <x:c r="N59" s="14" t="n">
        <x:f>F59*K59*L59</x:f>
        <x:v>3070.1422824</x:v>
      </x:c>
      <x:c r="O59" s="14" t="n">
        <x:f>F59*K59</x:f>
        <x:v>7675.355705999999</x:v>
      </x:c>
    </x:row>
    <x:row r="60" ht="21" customHeight="1">
      <x:c r="A60" t="str">
        <x:v>CR-0056</x:v>
      </x:c>
      <x:c r="B60" t="str">
        <x:v>2024-08-10</x:v>
      </x:c>
      <x:c r="C60" t="str">
        <x:v>Particuliers</x:v>
      </x:c>
      <x:c r="D60" t="str">
        <x:v>Investissement</x:v>
      </x:c>
      <x:c r="E60" t="str">
        <x:v>Casablanca</x:v>
      </x:c>
      <x:c r="F60" s="14" t="n">
        <x:v>94763.64</x:v>
      </x:c>
      <x:c r="G60" t="n">
        <x:v>24</x:v>
      </x:c>
      <x:c r="H60" t="n">
        <x:v>6.05</x:v>
      </x:c>
      <x:c r="I60" t="n">
        <x:v>0</x:v>
      </x:c>
      <x:c r="J60" t="str">
        <x:v>À jour</x:v>
      </x:c>
      <x:c r="K60" s="16" t="n">
        <x:v>0.0142</x:v>
      </x:c>
      <x:c r="L60" s="16" t="n">
        <x:v>0.45</x:v>
      </x:c>
      <x:c r="M60" t="str">
        <x:v>A</x:v>
      </x:c>
      <x:c r="N60" s="14" t="n">
        <x:f>F60*K60*L60</x:f>
        <x:v>605.5396596</x:v>
      </x:c>
      <x:c r="O60" s="14" t="n">
        <x:f>F60*K60</x:f>
        <x:v>1345.643688</x:v>
      </x:c>
    </x:row>
    <x:row r="61" ht="21" customHeight="1">
      <x:c r="A61" t="str">
        <x:v>CR-0057</x:v>
      </x:c>
      <x:c r="B61" t="str">
        <x:v>2025-09-10</x:v>
      </x:c>
      <x:c r="C61" t="str">
        <x:v>Particuliers</x:v>
      </x:c>
      <x:c r="D61" t="str">
        <x:v>Investissement</x:v>
      </x:c>
      <x:c r="E61" t="str">
        <x:v>Rabat</x:v>
      </x:c>
      <x:c r="F61" s="14" t="n">
        <x:v>54658.65</x:v>
      </x:c>
      <x:c r="G61" t="n">
        <x:v>36</x:v>
      </x:c>
      <x:c r="H61" t="n">
        <x:v>8.85</x:v>
      </x:c>
      <x:c r="I61" t="n">
        <x:v>0</x:v>
      </x:c>
      <x:c r="J61" t="str">
        <x:v>À jour</x:v>
      </x:c>
      <x:c r="K61" s="16" t="n">
        <x:v>0.06</x:v>
      </x:c>
      <x:c r="L61" s="16" t="n">
        <x:v>0.45</x:v>
      </x:c>
      <x:c r="M61" t="str">
        <x:v>C</x:v>
      </x:c>
      <x:c r="N61" s="14" t="n">
        <x:f>F61*K61*L61</x:f>
        <x:v>1475.7835499999999</x:v>
      </x:c>
      <x:c r="O61" s="14" t="n">
        <x:f>F61*K61</x:f>
        <x:v>3279.519</x:v>
      </x:c>
    </x:row>
    <x:row r="62" ht="21" customHeight="1">
      <x:c r="A62" t="str">
        <x:v>CR-0058</x:v>
      </x:c>
      <x:c r="B62" t="str">
        <x:v>2023-10-10</x:v>
      </x:c>
      <x:c r="C62" t="str">
        <x:v>TPE</x:v>
      </x:c>
      <x:c r="D62" t="str">
        <x:v>Équipement</x:v>
      </x:c>
      <x:c r="E62" t="str">
        <x:v>Fès</x:v>
      </x:c>
      <x:c r="F62" s="14" t="n">
        <x:v>74392.81</x:v>
      </x:c>
      <x:c r="G62" t="n">
        <x:v>84</x:v>
      </x:c>
      <x:c r="H62" t="n">
        <x:v>5.01</x:v>
      </x:c>
      <x:c r="I62" t="n">
        <x:v>0</x:v>
      </x:c>
      <x:c r="J62" t="str">
        <x:v>À jour</x:v>
      </x:c>
      <x:c r="K62" s="16" t="n">
        <x:v>0.0484</x:v>
      </x:c>
      <x:c r="L62" s="16" t="n">
        <x:v>0.4</x:v>
      </x:c>
      <x:c r="M62" t="str">
        <x:v>B</x:v>
      </x:c>
      <x:c r="N62" s="14" t="n">
        <x:f>F62*K62*L62</x:f>
        <x:v>1440.2448015999998</x:v>
      </x:c>
      <x:c r="O62" s="14" t="n">
        <x:f>F62*K62</x:f>
        <x:v>3600.6120039999996</x:v>
      </x:c>
    </x:row>
    <x:row r="63" ht="21" customHeight="1">
      <x:c r="A63" t="str">
        <x:v>CR-0059</x:v>
      </x:c>
      <x:c r="B63" t="str">
        <x:v>2024-11-10</x:v>
      </x:c>
      <x:c r="C63" t="str">
        <x:v>Particuliers</x:v>
      </x:c>
      <x:c r="D63" t="str">
        <x:v>Investissement</x:v>
      </x:c>
      <x:c r="E63" t="str">
        <x:v>Casablanca</x:v>
      </x:c>
      <x:c r="F63" s="14" t="n">
        <x:v>112142.77</x:v>
      </x:c>
      <x:c r="G63" t="n">
        <x:v>84</x:v>
      </x:c>
      <x:c r="H63" t="n">
        <x:v>6.54</x:v>
      </x:c>
      <x:c r="I63" t="n">
        <x:v>0</x:v>
      </x:c>
      <x:c r="J63" t="str">
        <x:v>À jour</x:v>
      </x:c>
      <x:c r="K63" s="16" t="n">
        <x:v>0.059</x:v>
      </x:c>
      <x:c r="L63" s="16" t="n">
        <x:v>0.45</x:v>
      </x:c>
      <x:c r="M63" t="str">
        <x:v>C</x:v>
      </x:c>
      <x:c r="N63" s="14" t="n">
        <x:f>F63*K63*L63</x:f>
        <x:v>2977.3905435</x:v>
      </x:c>
      <x:c r="O63" s="14" t="n">
        <x:f>F63*K63</x:f>
        <x:v>6616.42343</x:v>
      </x:c>
    </x:row>
    <x:row r="64" ht="21" customHeight="1">
      <x:c r="A64" t="str">
        <x:v>CR-0060</x:v>
      </x:c>
      <x:c r="B64" t="str">
        <x:v>2025-12-10</x:v>
      </x:c>
      <x:c r="C64" t="str">
        <x:v>PME</x:v>
      </x:c>
      <x:c r="D64" t="str">
        <x:v>Investissement</x:v>
      </x:c>
      <x:c r="E64" t="str">
        <x:v>Casablanca</x:v>
      </x:c>
      <x:c r="F64" s="14" t="n">
        <x:v>105780.11</x:v>
      </x:c>
      <x:c r="G64" t="n">
        <x:v>36</x:v>
      </x:c>
      <x:c r="H64" t="n">
        <x:v>7.6</x:v>
      </x:c>
      <x:c r="I64" t="n">
        <x:v>0</x:v>
      </x:c>
      <x:c r="J64" t="str">
        <x:v>À jour</x:v>
      </x:c>
      <x:c r="K64" s="16" t="n">
        <x:v>0.0522</x:v>
      </x:c>
      <x:c r="L64" s="16" t="n">
        <x:v>0.45</x:v>
      </x:c>
      <x:c r="M64" t="str">
        <x:v>C</x:v>
      </x:c>
      <x:c r="N64" s="14" t="n">
        <x:f>F64*K64*L64</x:f>
        <x:v>2484.7747839000003</x:v>
      </x:c>
      <x:c r="O64" s="14" t="n">
        <x:f>F64*K64</x:f>
        <x:v>5521.721742000001</x:v>
      </x:c>
    </x:row>
    <x:row r="65" ht="21" customHeight="1">
      <x:c r="A65" t="str">
        <x:v>CR-0061</x:v>
      </x:c>
      <x:c r="B65" t="str">
        <x:v>2023-01-10</x:v>
      </x:c>
      <x:c r="C65" t="str">
        <x:v>Particuliers</x:v>
      </x:c>
      <x:c r="D65" t="str">
        <x:v>Consommation</x:v>
      </x:c>
      <x:c r="E65" t="str">
        <x:v>Casablanca</x:v>
      </x:c>
      <x:c r="F65" s="14" t="n">
        <x:v>79022.08</x:v>
      </x:c>
      <x:c r="G65" t="n">
        <x:v>36</x:v>
      </x:c>
      <x:c r="H65" t="n">
        <x:v>7.13</x:v>
      </x:c>
      <x:c r="I65" t="n">
        <x:v>0</x:v>
      </x:c>
      <x:c r="J65" t="str">
        <x:v>À jour</x:v>
      </x:c>
      <x:c r="K65" s="16" t="n">
        <x:v>0.0446</x:v>
      </x:c>
      <x:c r="L65" s="16" t="n">
        <x:v>0.7</x:v>
      </x:c>
      <x:c r="M65" t="str">
        <x:v>B</x:v>
      </x:c>
      <x:c r="N65" s="14" t="n">
        <x:f>F65*K65*L65</x:f>
        <x:v>2467.0693376</x:v>
      </x:c>
      <x:c r="O65" s="14" t="n">
        <x:f>F65*K65</x:f>
        <x:v>3524.3847680000003</x:v>
      </x:c>
    </x:row>
    <x:row r="66" ht="21" customHeight="1">
      <x:c r="A66" t="str">
        <x:v>CR-0062</x:v>
      </x:c>
      <x:c r="B66" t="str">
        <x:v>2024-02-10</x:v>
      </x:c>
      <x:c r="C66" t="str">
        <x:v>Particuliers</x:v>
      </x:c>
      <x:c r="D66" t="str">
        <x:v>Trésorerie</x:v>
      </x:c>
      <x:c r="E66" t="str">
        <x:v>Casablanca</x:v>
      </x:c>
      <x:c r="F66" s="14" t="n">
        <x:v>100160.06</x:v>
      </x:c>
      <x:c r="G66" t="n">
        <x:v>60</x:v>
      </x:c>
      <x:c r="H66" t="n">
        <x:v>10.24</x:v>
      </x:c>
      <x:c r="I66" t="n">
        <x:v>0</x:v>
      </x:c>
      <x:c r="J66" t="str">
        <x:v>À jour</x:v>
      </x:c>
      <x:c r="K66" s="16" t="n">
        <x:v>0.0629</x:v>
      </x:c>
      <x:c r="L66" s="16" t="n">
        <x:v>0.6</x:v>
      </x:c>
      <x:c r="M66" t="str">
        <x:v>C</x:v>
      </x:c>
      <x:c r="N66" s="14" t="n">
        <x:f>F66*K66*L66</x:f>
        <x:v>3780.0406643999995</x:v>
      </x:c>
      <x:c r="O66" s="14" t="n">
        <x:f>F66*K66</x:f>
        <x:v>6300.067773999999</x:v>
      </x:c>
    </x:row>
    <x:row r="67" ht="21" customHeight="1">
      <x:c r="A67" t="str">
        <x:v>CR-0063</x:v>
      </x:c>
      <x:c r="B67" t="str">
        <x:v>2025-03-10</x:v>
      </x:c>
      <x:c r="C67" t="str">
        <x:v>PME</x:v>
      </x:c>
      <x:c r="D67" t="str">
        <x:v>Trésorerie</x:v>
      </x:c>
      <x:c r="E67" t="str">
        <x:v>Tanger</x:v>
      </x:c>
      <x:c r="F67" s="14" t="n">
        <x:v>32153.05</x:v>
      </x:c>
      <x:c r="G67" t="n">
        <x:v>24</x:v>
      </x:c>
      <x:c r="H67" t="n">
        <x:v>9.89</x:v>
      </x:c>
      <x:c r="I67" t="n">
        <x:v>0</x:v>
      </x:c>
      <x:c r="J67" t="str">
        <x:v>À jour</x:v>
      </x:c>
      <x:c r="K67" s="16" t="n">
        <x:v>0.0298</x:v>
      </x:c>
      <x:c r="L67" s="16" t="n">
        <x:v>0.6</x:v>
      </x:c>
      <x:c r="M67" t="str">
        <x:v>B</x:v>
      </x:c>
      <x:c r="N67" s="14" t="n">
        <x:f>F67*K67*L67</x:f>
        <x:v>574.896534</x:v>
      </x:c>
      <x:c r="O67" s="14" t="n">
        <x:f>F67*K67</x:f>
        <x:v>958.16089</x:v>
      </x:c>
    </x:row>
    <x:row r="68" ht="21" customHeight="1">
      <x:c r="A68" t="str">
        <x:v>CR-0064</x:v>
      </x:c>
      <x:c r="B68" t="str">
        <x:v>2023-04-10</x:v>
      </x:c>
      <x:c r="C68" t="str">
        <x:v>Particuliers</x:v>
      </x:c>
      <x:c r="D68" t="str">
        <x:v>Habitat</x:v>
      </x:c>
      <x:c r="E68" t="str">
        <x:v>Fès</x:v>
      </x:c>
      <x:c r="F68" s="14" t="n">
        <x:v>81738.65</x:v>
      </x:c>
      <x:c r="G68" t="n">
        <x:v>24</x:v>
      </x:c>
      <x:c r="H68" t="n">
        <x:v>8.1</x:v>
      </x:c>
      <x:c r="I68" t="n">
        <x:v>0</x:v>
      </x:c>
      <x:c r="J68" t="str">
        <x:v>À jour</x:v>
      </x:c>
      <x:c r="K68" s="16" t="n">
        <x:v>0.0325</x:v>
      </x:c>
      <x:c r="L68" s="16" t="n">
        <x:v>0.2</x:v>
      </x:c>
      <x:c r="M68" t="str">
        <x:v>B</x:v>
      </x:c>
      <x:c r="N68" s="14" t="n">
        <x:f>F68*K68*L68</x:f>
        <x:v>531.301225</x:v>
      </x:c>
      <x:c r="O68" s="14" t="n">
        <x:f>F68*K68</x:f>
        <x:v>2656.506125</x:v>
      </x:c>
    </x:row>
    <x:row r="69" ht="21" customHeight="1">
      <x:c r="A69" t="str">
        <x:v>CR-0065</x:v>
      </x:c>
      <x:c r="B69" t="str">
        <x:v>2024-05-10</x:v>
      </x:c>
      <x:c r="C69" t="str">
        <x:v>PME</x:v>
      </x:c>
      <x:c r="D69" t="str">
        <x:v>Trésorerie</x:v>
      </x:c>
      <x:c r="E69" t="str">
        <x:v>Casablanca</x:v>
      </x:c>
      <x:c r="F69" s="14" t="n">
        <x:v>99664.99</x:v>
      </x:c>
      <x:c r="G69" t="n">
        <x:v>60</x:v>
      </x:c>
      <x:c r="H69" t="n">
        <x:v>5.59</x:v>
      </x:c>
      <x:c r="I69" t="n">
        <x:v>0</x:v>
      </x:c>
      <x:c r="J69" t="str">
        <x:v>À jour</x:v>
      </x:c>
      <x:c r="K69" s="16" t="n">
        <x:v>0.0347</x:v>
      </x:c>
      <x:c r="L69" s="16" t="n">
        <x:v>0.6</x:v>
      </x:c>
      <x:c r="M69" t="str">
        <x:v>B</x:v>
      </x:c>
      <x:c r="N69" s="14" t="n">
        <x:f>F69*K69*L69</x:f>
        <x:v>2075.0250918</x:v>
      </x:c>
      <x:c r="O69" s="14" t="n">
        <x:f>F69*K69</x:f>
        <x:v>3458.3751530000004</x:v>
      </x:c>
    </x:row>
    <x:row r="70" ht="21" customHeight="1">
      <x:c r="A70" t="str">
        <x:v>CR-0066</x:v>
      </x:c>
      <x:c r="B70" t="str">
        <x:v>2025-06-10</x:v>
      </x:c>
      <x:c r="C70" t="str">
        <x:v>PME</x:v>
      </x:c>
      <x:c r="D70" t="str">
        <x:v>Trésorerie</x:v>
      </x:c>
      <x:c r="E70" t="str">
        <x:v>Marrakech</x:v>
      </x:c>
      <x:c r="F70" s="14" t="n">
        <x:v>84665.86</x:v>
      </x:c>
      <x:c r="G70" t="n">
        <x:v>84</x:v>
      </x:c>
      <x:c r="H70" t="n">
        <x:v>3.68</x:v>
      </x:c>
      <x:c r="I70" t="n">
        <x:v>0</x:v>
      </x:c>
      <x:c r="J70" t="str">
        <x:v>À jour</x:v>
      </x:c>
      <x:c r="K70" s="16" t="n">
        <x:v>0.0556</x:v>
      </x:c>
      <x:c r="L70" s="16" t="n">
        <x:v>0.6</x:v>
      </x:c>
      <x:c r="M70" t="str">
        <x:v>C</x:v>
      </x:c>
      <x:c r="N70" s="14" t="n">
        <x:f>F70*K70*L70</x:f>
        <x:v>2824.4530896</x:v>
      </x:c>
      <x:c r="O70" s="14" t="n">
        <x:f>F70*K70</x:f>
        <x:v>4707.421816</x:v>
      </x:c>
    </x:row>
    <x:row r="71" ht="21" customHeight="1">
      <x:c r="A71" t="str">
        <x:v>CR-0067</x:v>
      </x:c>
      <x:c r="B71" t="str">
        <x:v>2023-07-10</x:v>
      </x:c>
      <x:c r="C71" t="str">
        <x:v>TPE</x:v>
      </x:c>
      <x:c r="D71" t="str">
        <x:v>Équipement</x:v>
      </x:c>
      <x:c r="E71" t="str">
        <x:v>Fès</x:v>
      </x:c>
      <x:c r="F71" s="14" t="n">
        <x:v>61332.05</x:v>
      </x:c>
      <x:c r="G71" t="n">
        <x:v>60</x:v>
      </x:c>
      <x:c r="H71" t="n">
        <x:v>4.07</x:v>
      </x:c>
      <x:c r="I71" t="n">
        <x:v>0</x:v>
      </x:c>
      <x:c r="J71" t="str">
        <x:v>À jour</x:v>
      </x:c>
      <x:c r="K71" s="16" t="n">
        <x:v>0.014</x:v>
      </x:c>
      <x:c r="L71" s="16" t="n">
        <x:v>0.4</x:v>
      </x:c>
      <x:c r="M71" t="str">
        <x:v>A</x:v>
      </x:c>
      <x:c r="N71" s="14" t="n">
        <x:f>F71*K71*L71</x:f>
        <x:v>343.45948000000004</x:v>
      </x:c>
      <x:c r="O71" s="14" t="n">
        <x:f>F71*K71</x:f>
        <x:v>858.6487000000001</x:v>
      </x:c>
    </x:row>
    <x:row r="72" ht="21" customHeight="1">
      <x:c r="A72" t="str">
        <x:v>CR-0068</x:v>
      </x:c>
      <x:c r="B72" t="str">
        <x:v>2024-08-10</x:v>
      </x:c>
      <x:c r="C72" t="str">
        <x:v>Particuliers</x:v>
      </x:c>
      <x:c r="D72" t="str">
        <x:v>Investissement</x:v>
      </x:c>
      <x:c r="E72" t="str">
        <x:v>Rabat</x:v>
      </x:c>
      <x:c r="F72" s="14" t="n">
        <x:v>89780.69</x:v>
      </x:c>
      <x:c r="G72" t="n">
        <x:v>60</x:v>
      </x:c>
      <x:c r="H72" t="n">
        <x:v>7.6</x:v>
      </x:c>
      <x:c r="I72" t="n">
        <x:v>0</x:v>
      </x:c>
      <x:c r="J72" t="str">
        <x:v>À jour</x:v>
      </x:c>
      <x:c r="K72" s="16" t="n">
        <x:v>0.0459</x:v>
      </x:c>
      <x:c r="L72" s="16" t="n">
        <x:v>0.45</x:v>
      </x:c>
      <x:c r="M72" t="str">
        <x:v>B</x:v>
      </x:c>
      <x:c r="N72" s="14" t="n">
        <x:f>F72*K72*L72</x:f>
        <x:v>1854.4201519500004</x:v>
      </x:c>
      <x:c r="O72" s="14" t="n">
        <x:f>F72*K72</x:f>
        <x:v>4120.933671000001</x:v>
      </x:c>
    </x:row>
    <x:row r="73" ht="21" customHeight="1">
      <x:c r="A73" t="str">
        <x:v>CR-0069</x:v>
      </x:c>
      <x:c r="B73" t="str">
        <x:v>2025-09-10</x:v>
      </x:c>
      <x:c r="C73" t="str">
        <x:v>TPE</x:v>
      </x:c>
      <x:c r="D73" t="str">
        <x:v>Habitat</x:v>
      </x:c>
      <x:c r="E73" t="str">
        <x:v>Tanger</x:v>
      </x:c>
      <x:c r="F73" s="14" t="n">
        <x:v>66701.83</x:v>
      </x:c>
      <x:c r="G73" t="n">
        <x:v>48</x:v>
      </x:c>
      <x:c r="H73" t="n">
        <x:v>10.33</x:v>
      </x:c>
      <x:c r="I73" t="n">
        <x:v>46</x:v>
      </x:c>
      <x:c r="J73" t="str">
        <x:v>Impayé</x:v>
      </x:c>
      <x:c r="K73" s="16" t="n">
        <x:v>0.1124</x:v>
      </x:c>
      <x:c r="L73" s="16" t="n">
        <x:v>0.2</x:v>
      </x:c>
      <x:c r="M73" t="str">
        <x:v>C</x:v>
      </x:c>
      <x:c r="N73" s="14" t="n">
        <x:f>F73*K73*L73</x:f>
        <x:v>1499.4571384</x:v>
      </x:c>
      <x:c r="O73" s="14" t="n">
        <x:f>F73*K73</x:f>
        <x:v>7497.285692</x:v>
      </x:c>
    </x:row>
    <x:row r="74" ht="21" customHeight="1">
      <x:c r="A74" t="str">
        <x:v>CR-0070</x:v>
      </x:c>
      <x:c r="B74" t="str">
        <x:v>2023-10-10</x:v>
      </x:c>
      <x:c r="C74" t="str">
        <x:v>Particuliers</x:v>
      </x:c>
      <x:c r="D74" t="str">
        <x:v>Habitat</x:v>
      </x:c>
      <x:c r="E74" t="str">
        <x:v>Casablanca</x:v>
      </x:c>
      <x:c r="F74" s="14" t="n">
        <x:v>81042.42</x:v>
      </x:c>
      <x:c r="G74" t="n">
        <x:v>48</x:v>
      </x:c>
      <x:c r="H74" t="n">
        <x:v>5.92</x:v>
      </x:c>
      <x:c r="I74" t="n">
        <x:v>0</x:v>
      </x:c>
      <x:c r="J74" t="str">
        <x:v>À jour</x:v>
      </x:c>
      <x:c r="K74" s="16" t="n">
        <x:v>0.059</x:v>
      </x:c>
      <x:c r="L74" s="16" t="n">
        <x:v>0.2</x:v>
      </x:c>
      <x:c r="M74" t="str">
        <x:v>C</x:v>
      </x:c>
      <x:c r="N74" s="14" t="n">
        <x:f>F74*K74*L74</x:f>
        <x:v>956.300556</x:v>
      </x:c>
      <x:c r="O74" s="14" t="n">
        <x:f>F74*K74</x:f>
        <x:v>4781.50278</x:v>
      </x:c>
    </x:row>
    <x:row r="75" ht="21" customHeight="1">
      <x:c r="A75" t="str">
        <x:v>CR-0071</x:v>
      </x:c>
      <x:c r="B75" t="str">
        <x:v>2024-11-10</x:v>
      </x:c>
      <x:c r="C75" t="str">
        <x:v>TPE</x:v>
      </x:c>
      <x:c r="D75" t="str">
        <x:v>Consommation</x:v>
      </x:c>
      <x:c r="E75" t="str">
        <x:v>Fès</x:v>
      </x:c>
      <x:c r="F75" s="14" t="n">
        <x:v>68822.84</x:v>
      </x:c>
      <x:c r="G75" t="n">
        <x:v>84</x:v>
      </x:c>
      <x:c r="H75" t="n">
        <x:v>10.14</x:v>
      </x:c>
      <x:c r="I75" t="n">
        <x:v>0</x:v>
      </x:c>
      <x:c r="J75" t="str">
        <x:v>À jour</x:v>
      </x:c>
      <x:c r="K75" s="16" t="n">
        <x:v>0.0544</x:v>
      </x:c>
      <x:c r="L75" s="16" t="n">
        <x:v>0.7</x:v>
      </x:c>
      <x:c r="M75" t="str">
        <x:v>C</x:v>
      </x:c>
      <x:c r="N75" s="14" t="n">
        <x:f>F75*K75*L75</x:f>
        <x:v>2620.7737471999994</x:v>
      </x:c>
      <x:c r="O75" s="14" t="n">
        <x:f>F75*K75</x:f>
        <x:v>3743.9624959999996</x:v>
      </x:c>
    </x:row>
    <x:row r="76" ht="21" customHeight="1">
      <x:c r="A76" t="str">
        <x:v>CR-0072</x:v>
      </x:c>
      <x:c r="B76" t="str">
        <x:v>2025-12-10</x:v>
      </x:c>
      <x:c r="C76" t="str">
        <x:v>Particuliers</x:v>
      </x:c>
      <x:c r="D76" t="str">
        <x:v>Investissement</x:v>
      </x:c>
      <x:c r="E76" t="str">
        <x:v>Rabat</x:v>
      </x:c>
      <x:c r="F76" s="14" t="n">
        <x:v>56357.55</x:v>
      </x:c>
      <x:c r="G76" t="n">
        <x:v>36</x:v>
      </x:c>
      <x:c r="H76" t="n">
        <x:v>6.47</x:v>
      </x:c>
      <x:c r="I76" t="n">
        <x:v>0</x:v>
      </x:c>
      <x:c r="J76" t="str">
        <x:v>À jour</x:v>
      </x:c>
      <x:c r="K76" s="16" t="n">
        <x:v>0.0345</x:v>
      </x:c>
      <x:c r="L76" s="16" t="n">
        <x:v>0.45</x:v>
      </x:c>
      <x:c r="M76" t="str">
        <x:v>B</x:v>
      </x:c>
      <x:c r="N76" s="14" t="n">
        <x:f>F76*K76*L76</x:f>
        <x:v>874.9509637500001</x:v>
      </x:c>
      <x:c r="O76" s="14" t="n">
        <x:f>F76*K76</x:f>
        <x:v>1944.3354750000003</x:v>
      </x:c>
    </x:row>
    <x:row r="77" ht="21" customHeight="1">
      <x:c r="A77" t="str">
        <x:v>CR-0073</x:v>
      </x:c>
      <x:c r="B77" t="str">
        <x:v>2023-01-10</x:v>
      </x:c>
      <x:c r="C77" t="str">
        <x:v>Particuliers</x:v>
      </x:c>
      <x:c r="D77" t="str">
        <x:v>Habitat</x:v>
      </x:c>
      <x:c r="E77" t="str">
        <x:v>Casablanca</x:v>
      </x:c>
      <x:c r="F77" s="14" t="n">
        <x:v>58128.7</x:v>
      </x:c>
      <x:c r="G77" t="n">
        <x:v>120</x:v>
      </x:c>
      <x:c r="H77" t="n">
        <x:v>9.07</x:v>
      </x:c>
      <x:c r="I77" t="n">
        <x:v>0</x:v>
      </x:c>
      <x:c r="J77" t="str">
        <x:v>À jour</x:v>
      </x:c>
      <x:c r="K77" s="16" t="n">
        <x:v>0.0334</x:v>
      </x:c>
      <x:c r="L77" s="16" t="n">
        <x:v>0.2</x:v>
      </x:c>
      <x:c r="M77" t="str">
        <x:v>B</x:v>
      </x:c>
      <x:c r="N77" s="14" t="n">
        <x:f>F77*K77*L77</x:f>
        <x:v>388.299716</x:v>
      </x:c>
      <x:c r="O77" s="14" t="n">
        <x:f>F77*K77</x:f>
        <x:v>1941.49858</x:v>
      </x:c>
    </x:row>
    <x:row r="78" ht="21" customHeight="1">
      <x:c r="A78" t="str">
        <x:v>CR-0074</x:v>
      </x:c>
      <x:c r="B78" t="str">
        <x:v>2024-02-10</x:v>
      </x:c>
      <x:c r="C78" t="str">
        <x:v>Professionnels</x:v>
      </x:c>
      <x:c r="D78" t="str">
        <x:v>Investissement</x:v>
      </x:c>
      <x:c r="E78" t="str">
        <x:v>Tanger</x:v>
      </x:c>
      <x:c r="F78" s="14" t="n">
        <x:v>61455.45</x:v>
      </x:c>
      <x:c r="G78" t="n">
        <x:v>48</x:v>
      </x:c>
      <x:c r="H78" t="n">
        <x:v>6.37</x:v>
      </x:c>
      <x:c r="I78" t="n">
        <x:v>0</x:v>
      </x:c>
      <x:c r="J78" t="str">
        <x:v>À jour</x:v>
      </x:c>
      <x:c r="K78" s="16" t="n">
        <x:v>0.0157</x:v>
      </x:c>
      <x:c r="L78" s="16" t="n">
        <x:v>0.45</x:v>
      </x:c>
      <x:c r="M78" t="str">
        <x:v>A</x:v>
      </x:c>
      <x:c r="N78" s="14" t="n">
        <x:f>F78*K78*L78</x:f>
        <x:v>434.18275424999996</x:v>
      </x:c>
      <x:c r="O78" s="14" t="n">
        <x:f>F78*K78</x:f>
        <x:v>964.8505649999998</x:v>
      </x:c>
    </x:row>
    <x:row r="79" ht="21" customHeight="1">
      <x:c r="A79" t="str">
        <x:v>CR-0075</x:v>
      </x:c>
      <x:c r="B79" t="str">
        <x:v>2025-03-10</x:v>
      </x:c>
      <x:c r="C79" t="str">
        <x:v>Professionnels</x:v>
      </x:c>
      <x:c r="D79" t="str">
        <x:v>Trésorerie</x:v>
      </x:c>
      <x:c r="E79" t="str">
        <x:v>Fès</x:v>
      </x:c>
      <x:c r="F79" s="14" t="n">
        <x:v>29130.05</x:v>
      </x:c>
      <x:c r="G79" t="n">
        <x:v>24</x:v>
      </x:c>
      <x:c r="H79" t="n">
        <x:v>4.16</x:v>
      </x:c>
      <x:c r="I79" t="n">
        <x:v>0</x:v>
      </x:c>
      <x:c r="J79" t="str">
        <x:v>À jour</x:v>
      </x:c>
      <x:c r="K79" s="16" t="n">
        <x:v>0.0227</x:v>
      </x:c>
      <x:c r="L79" s="16" t="n">
        <x:v>0.6</x:v>
      </x:c>
      <x:c r="M79" t="str">
        <x:v>B</x:v>
      </x:c>
      <x:c r="N79" s="14" t="n">
        <x:f>F79*K79*L79</x:f>
        <x:v>396.751281</x:v>
      </x:c>
      <x:c r="O79" s="14" t="n">
        <x:f>F79*K79</x:f>
        <x:v>661.2521350000001</x:v>
      </x:c>
    </x:row>
    <x:row r="80" ht="21" customHeight="1">
      <x:c r="A80" t="str">
        <x:v>CR-0076</x:v>
      </x:c>
      <x:c r="B80" t="str">
        <x:v>2023-04-10</x:v>
      </x:c>
      <x:c r="C80" t="str">
        <x:v>Particuliers</x:v>
      </x:c>
      <x:c r="D80" t="str">
        <x:v>Trésorerie</x:v>
      </x:c>
      <x:c r="E80" t="str">
        <x:v>Tanger</x:v>
      </x:c>
      <x:c r="F80" s="14" t="n">
        <x:v>84679.84</x:v>
      </x:c>
      <x:c r="G80" t="n">
        <x:v>120</x:v>
      </x:c>
      <x:c r="H80" t="n">
        <x:v>9.72</x:v>
      </x:c>
      <x:c r="I80" t="n">
        <x:v>0</x:v>
      </x:c>
      <x:c r="J80" t="str">
        <x:v>À jour</x:v>
      </x:c>
      <x:c r="K80" s="16" t="n">
        <x:v>0.013</x:v>
      </x:c>
      <x:c r="L80" s="16" t="n">
        <x:v>0.6</x:v>
      </x:c>
      <x:c r="M80" t="str">
        <x:v>A</x:v>
      </x:c>
      <x:c r="N80" s="14" t="n">
        <x:f>F80*K80*L80</x:f>
        <x:v>660.502752</x:v>
      </x:c>
      <x:c r="O80" s="14" t="n">
        <x:f>F80*K80</x:f>
        <x:v>1100.83792</x:v>
      </x:c>
    </x:row>
    <x:row r="81" ht="21" customHeight="1">
      <x:c r="A81" t="str">
        <x:v>CR-0077</x:v>
      </x:c>
      <x:c r="B81" t="str">
        <x:v>2024-05-10</x:v>
      </x:c>
      <x:c r="C81" t="str">
        <x:v>Professionnels</x:v>
      </x:c>
      <x:c r="D81" t="str">
        <x:v>Consommation</x:v>
      </x:c>
      <x:c r="E81" t="str">
        <x:v>Tanger</x:v>
      </x:c>
      <x:c r="F81" s="14" t="n">
        <x:v>110470.53</x:v>
      </x:c>
      <x:c r="G81" t="n">
        <x:v>84</x:v>
      </x:c>
      <x:c r="H81" t="n">
        <x:v>10.18</x:v>
      </x:c>
      <x:c r="I81" t="n">
        <x:v>0</x:v>
      </x:c>
      <x:c r="J81" t="str">
        <x:v>À jour</x:v>
      </x:c>
      <x:c r="K81" s="16" t="n">
        <x:v>0.0503</x:v>
      </x:c>
      <x:c r="L81" s="16" t="n">
        <x:v>0.7</x:v>
      </x:c>
      <x:c r="M81" t="str">
        <x:v>C</x:v>
      </x:c>
      <x:c r="N81" s="14" t="n">
        <x:f>F81*K81*L81</x:f>
        <x:v>3889.6673612999994</x:v>
      </x:c>
      <x:c r="O81" s="14" t="n">
        <x:f>F81*K81</x:f>
        <x:v>5556.667659</x:v>
      </x:c>
    </x:row>
    <x:row r="82" ht="21" customHeight="1">
      <x:c r="A82" t="str">
        <x:v>CR-0078</x:v>
      </x:c>
      <x:c r="B82" t="str">
        <x:v>2025-06-10</x:v>
      </x:c>
      <x:c r="C82" t="str">
        <x:v>PME</x:v>
      </x:c>
      <x:c r="D82" t="str">
        <x:v>Équipement</x:v>
      </x:c>
      <x:c r="E82" t="str">
        <x:v>Tanger</x:v>
      </x:c>
      <x:c r="F82" s="14" t="n">
        <x:v>54547.8</x:v>
      </x:c>
      <x:c r="G82" t="n">
        <x:v>48</x:v>
      </x:c>
      <x:c r="H82" t="n">
        <x:v>4.43</x:v>
      </x:c>
      <x:c r="I82" t="n">
        <x:v>12</x:v>
      </x:c>
      <x:c r="J82" t="str">
        <x:v>Impayé</x:v>
      </x:c>
      <x:c r="K82" s="16" t="n">
        <x:v>0.0408</x:v>
      </x:c>
      <x:c r="L82" s="16" t="n">
        <x:v>0.4</x:v>
      </x:c>
      <x:c r="M82" t="str">
        <x:v>B</x:v>
      </x:c>
      <x:c r="N82" s="14" t="n">
        <x:f>F82*K82*L82</x:f>
        <x:v>890.2200960000002</x:v>
      </x:c>
      <x:c r="O82" s="14" t="n">
        <x:f>F82*K82</x:f>
        <x:v>2225.5502400000005</x:v>
      </x:c>
    </x:row>
    <x:row r="83" ht="21" customHeight="1">
      <x:c r="A83" t="str">
        <x:v>CR-0079</x:v>
      </x:c>
      <x:c r="B83" t="str">
        <x:v>2023-07-10</x:v>
      </x:c>
      <x:c r="C83" t="str">
        <x:v>PME</x:v>
      </x:c>
      <x:c r="D83" t="str">
        <x:v>Habitat</x:v>
      </x:c>
      <x:c r="E83" t="str">
        <x:v>Fès</x:v>
      </x:c>
      <x:c r="F83" s="14" t="n">
        <x:v>110525.58</x:v>
      </x:c>
      <x:c r="G83" t="n">
        <x:v>48</x:v>
      </x:c>
      <x:c r="H83" t="n">
        <x:v>8.71</x:v>
      </x:c>
      <x:c r="I83" t="n">
        <x:v>0</x:v>
      </x:c>
      <x:c r="J83" t="str">
        <x:v>À jour</x:v>
      </x:c>
      <x:c r="K83" s="16" t="n">
        <x:v>0.0592</x:v>
      </x:c>
      <x:c r="L83" s="16" t="n">
        <x:v>0.2</x:v>
      </x:c>
      <x:c r="M83" t="str">
        <x:v>C</x:v>
      </x:c>
      <x:c r="N83" s="14" t="n">
        <x:f>F83*K83*L83</x:f>
        <x:v>1308.6228672000002</x:v>
      </x:c>
      <x:c r="O83" s="14" t="n">
        <x:f>F83*K83</x:f>
        <x:v>6543.114336000001</x:v>
      </x:c>
    </x:row>
    <x:row r="84" ht="21" customHeight="1">
      <x:c r="A84" t="str">
        <x:v>CR-0080</x:v>
      </x:c>
      <x:c r="B84" t="str">
        <x:v>2024-08-10</x:v>
      </x:c>
      <x:c r="C84" t="str">
        <x:v>Particuliers</x:v>
      </x:c>
      <x:c r="D84" t="str">
        <x:v>Habitat</x:v>
      </x:c>
      <x:c r="E84" t="str">
        <x:v>Fès</x:v>
      </x:c>
      <x:c r="F84" s="14" t="n">
        <x:v>29115.29</x:v>
      </x:c>
      <x:c r="G84" t="n">
        <x:v>48</x:v>
      </x:c>
      <x:c r="H84" t="n">
        <x:v>7.96</x:v>
      </x:c>
      <x:c r="I84" t="n">
        <x:v>0</x:v>
      </x:c>
      <x:c r="J84" t="str">
        <x:v>À jour</x:v>
      </x:c>
      <x:c r="K84" s="16" t="n">
        <x:v>0.0225</x:v>
      </x:c>
      <x:c r="L84" s="16" t="n">
        <x:v>0.2</x:v>
      </x:c>
      <x:c r="M84" t="str">
        <x:v>B</x:v>
      </x:c>
      <x:c r="N84" s="14" t="n">
        <x:f>F84*K84*L84</x:f>
        <x:v>131.01880500000001</x:v>
      </x:c>
      <x:c r="O84" s="14" t="n">
        <x:f>F84*K84</x:f>
        <x:v>655.094025</x:v>
      </x:c>
    </x:row>
    <x:row r="85" ht="21" customHeight="1">
      <x:c r="A85" t="str">
        <x:v>CR-0081</x:v>
      </x:c>
      <x:c r="B85" t="str">
        <x:v>2025-09-10</x:v>
      </x:c>
      <x:c r="C85" t="str">
        <x:v>TPE</x:v>
      </x:c>
      <x:c r="D85" t="str">
        <x:v>Investissement</x:v>
      </x:c>
      <x:c r="E85" t="str">
        <x:v>Fès</x:v>
      </x:c>
      <x:c r="F85" s="14" t="n">
        <x:v>74876.67</x:v>
      </x:c>
      <x:c r="G85" t="n">
        <x:v>24</x:v>
      </x:c>
      <x:c r="H85" t="n">
        <x:v>8.37</x:v>
      </x:c>
      <x:c r="I85" t="n">
        <x:v>0</x:v>
      </x:c>
      <x:c r="J85" t="str">
        <x:v>À jour</x:v>
      </x:c>
      <x:c r="K85" s="16" t="n">
        <x:v>0.0281</x:v>
      </x:c>
      <x:c r="L85" s="16" t="n">
        <x:v>0.45</x:v>
      </x:c>
      <x:c r="M85" t="str">
        <x:v>B</x:v>
      </x:c>
      <x:c r="N85" s="14" t="n">
        <x:f>F85*K85*L85</x:f>
        <x:v>946.8154921500001</x:v>
      </x:c>
      <x:c r="O85" s="14" t="n">
        <x:f>F85*K85</x:f>
        <x:v>2104.034427</x:v>
      </x:c>
    </x:row>
    <x:row r="86" ht="21" customHeight="1">
      <x:c r="A86" t="str">
        <x:v>CR-0082</x:v>
      </x:c>
      <x:c r="B86" t="str">
        <x:v>2023-10-10</x:v>
      </x:c>
      <x:c r="C86" t="str">
        <x:v>Particuliers</x:v>
      </x:c>
      <x:c r="D86" t="str">
        <x:v>Consommation</x:v>
      </x:c>
      <x:c r="E86" t="str">
        <x:v>Casablanca</x:v>
      </x:c>
      <x:c r="F86" s="14" t="n">
        <x:v>42492.87</x:v>
      </x:c>
      <x:c r="G86" t="n">
        <x:v>24</x:v>
      </x:c>
      <x:c r="H86" t="n">
        <x:v>8.78</x:v>
      </x:c>
      <x:c r="I86" t="n">
        <x:v>0</x:v>
      </x:c>
      <x:c r="J86" t="str">
        <x:v>À jour</x:v>
      </x:c>
      <x:c r="K86" s="16" t="n">
        <x:v>0.0219</x:v>
      </x:c>
      <x:c r="L86" s="16" t="n">
        <x:v>0.7</x:v>
      </x:c>
      <x:c r="M86" t="str">
        <x:v>B</x:v>
      </x:c>
      <x:c r="N86" s="14" t="n">
        <x:f>F86*K86*L86</x:f>
        <x:v>651.4156971</x:v>
      </x:c>
      <x:c r="O86" s="14" t="n">
        <x:f>F86*K86</x:f>
        <x:v>930.5938530000001</x:v>
      </x:c>
    </x:row>
    <x:row r="87" ht="21" customHeight="1">
      <x:c r="A87" t="str">
        <x:v>CR-0083</x:v>
      </x:c>
      <x:c r="B87" t="str">
        <x:v>2024-11-10</x:v>
      </x:c>
      <x:c r="C87" t="str">
        <x:v>TPE</x:v>
      </x:c>
      <x:c r="D87" t="str">
        <x:v>Trésorerie</x:v>
      </x:c>
      <x:c r="E87" t="str">
        <x:v>Casablanca</x:v>
      </x:c>
      <x:c r="F87" s="14" t="n">
        <x:v>103354.23</x:v>
      </x:c>
      <x:c r="G87" t="n">
        <x:v>120</x:v>
      </x:c>
      <x:c r="H87" t="n">
        <x:v>6.27</x:v>
      </x:c>
      <x:c r="I87" t="n">
        <x:v>0</x:v>
      </x:c>
      <x:c r="J87" t="str">
        <x:v>À jour</x:v>
      </x:c>
      <x:c r="K87" s="16" t="n">
        <x:v>0.0423</x:v>
      </x:c>
      <x:c r="L87" s="16" t="n">
        <x:v>0.6</x:v>
      </x:c>
      <x:c r="M87" t="str">
        <x:v>B</x:v>
      </x:c>
      <x:c r="N87" s="14" t="n">
        <x:f>F87*K87*L87</x:f>
        <x:v>2623.1303574</x:v>
      </x:c>
      <x:c r="O87" s="14" t="n">
        <x:f>F87*K87</x:f>
        <x:v>4371.883929</x:v>
      </x:c>
    </x:row>
    <x:row r="88" ht="21" customHeight="1">
      <x:c r="A88" t="str">
        <x:v>CR-0084</x:v>
      </x:c>
      <x:c r="B88" t="str">
        <x:v>2025-12-10</x:v>
      </x:c>
      <x:c r="C88" t="str">
        <x:v>PME</x:v>
      </x:c>
      <x:c r="D88" t="str">
        <x:v>Trésorerie</x:v>
      </x:c>
      <x:c r="E88" t="str">
        <x:v>Tanger</x:v>
      </x:c>
      <x:c r="F88" s="14" t="n">
        <x:v>60342.45</x:v>
      </x:c>
      <x:c r="G88" t="n">
        <x:v>48</x:v>
      </x:c>
      <x:c r="H88" t="n">
        <x:v>9.69</x:v>
      </x:c>
      <x:c r="I88" t="n">
        <x:v>0</x:v>
      </x:c>
      <x:c r="J88" t="str">
        <x:v>À jour</x:v>
      </x:c>
      <x:c r="K88" s="16" t="n">
        <x:v>0.006</x:v>
      </x:c>
      <x:c r="L88" s="16" t="n">
        <x:v>0.6</x:v>
      </x:c>
      <x:c r="M88" t="str">
        <x:v>A</x:v>
      </x:c>
      <x:c r="N88" s="14" t="n">
        <x:f>F88*K88*L88</x:f>
        <x:v>217.23281999999998</x:v>
      </x:c>
      <x:c r="O88" s="14" t="n">
        <x:f>F88*K88</x:f>
        <x:v>362.05469999999997</x:v>
      </x:c>
    </x:row>
    <x:row r="89" ht="21" customHeight="1">
      <x:c r="A89" t="str">
        <x:v>CR-0085</x:v>
      </x:c>
      <x:c r="B89" t="str">
        <x:v>2023-01-10</x:v>
      </x:c>
      <x:c r="C89" t="str">
        <x:v>Particuliers</x:v>
      </x:c>
      <x:c r="D89" t="str">
        <x:v>Consommation</x:v>
      </x:c>
      <x:c r="E89" t="str">
        <x:v>Marrakech</x:v>
      </x:c>
      <x:c r="F89" s="14" t="n">
        <x:v>39759.4</x:v>
      </x:c>
      <x:c r="G89" t="n">
        <x:v>60</x:v>
      </x:c>
      <x:c r="H89" t="n">
        <x:v>9.96</x:v>
      </x:c>
      <x:c r="I89" t="n">
        <x:v>0</x:v>
      </x:c>
      <x:c r="J89" t="str">
        <x:v>À jour</x:v>
      </x:c>
      <x:c r="K89" s="16" t="n">
        <x:v>0.0416</x:v>
      </x:c>
      <x:c r="L89" s="16" t="n">
        <x:v>0.7</x:v>
      </x:c>
      <x:c r="M89" t="str">
        <x:v>B</x:v>
      </x:c>
      <x:c r="N89" s="14" t="n">
        <x:f>F89*K89*L89</x:f>
        <x:v>1157.7937279999999</x:v>
      </x:c>
      <x:c r="O89" s="14" t="n">
        <x:f>F89*K89</x:f>
        <x:v>1653.9910399999999</x:v>
      </x:c>
    </x:row>
    <x:row r="90" ht="21" customHeight="1">
      <x:c r="A90" t="str">
        <x:v>CR-0086</x:v>
      </x:c>
      <x:c r="B90" t="str">
        <x:v>2024-02-10</x:v>
      </x:c>
      <x:c r="C90" t="str">
        <x:v>TPE</x:v>
      </x:c>
      <x:c r="D90" t="str">
        <x:v>Investissement</x:v>
      </x:c>
      <x:c r="E90" t="str">
        <x:v>Fès</x:v>
      </x:c>
      <x:c r="F90" s="14" t="n">
        <x:v>81020.5</x:v>
      </x:c>
      <x:c r="G90" t="n">
        <x:v>48</x:v>
      </x:c>
      <x:c r="H90" t="n">
        <x:v>10.47</x:v>
      </x:c>
      <x:c r="I90" t="n">
        <x:v>0</x:v>
      </x:c>
      <x:c r="J90" t="str">
        <x:v>À jour</x:v>
      </x:c>
      <x:c r="K90" s="16" t="n">
        <x:v>0.026</x:v>
      </x:c>
      <x:c r="L90" s="16" t="n">
        <x:v>0.45</x:v>
      </x:c>
      <x:c r="M90" t="str">
        <x:v>B</x:v>
      </x:c>
      <x:c r="N90" s="14" t="n">
        <x:f>F90*K90*L90</x:f>
        <x:v>947.93985</x:v>
      </x:c>
      <x:c r="O90" s="14" t="n">
        <x:f>F90*K90</x:f>
        <x:v>2106.533</x:v>
      </x:c>
    </x:row>
    <x:row r="91" ht="21" customHeight="1">
      <x:c r="A91" t="str">
        <x:v>CR-0087</x:v>
      </x:c>
      <x:c r="B91" t="str">
        <x:v>2025-03-10</x:v>
      </x:c>
      <x:c r="C91" t="str">
        <x:v>Particuliers</x:v>
      </x:c>
      <x:c r="D91" t="str">
        <x:v>Habitat</x:v>
      </x:c>
      <x:c r="E91" t="str">
        <x:v>Casablanca</x:v>
      </x:c>
      <x:c r="F91" s="14" t="n">
        <x:v>63129.41</x:v>
      </x:c>
      <x:c r="G91" t="n">
        <x:v>36</x:v>
      </x:c>
      <x:c r="H91" t="n">
        <x:v>9.1</x:v>
      </x:c>
      <x:c r="I91" t="n">
        <x:v>0</x:v>
      </x:c>
      <x:c r="J91" t="str">
        <x:v>À jour</x:v>
      </x:c>
      <x:c r="K91" s="16" t="n">
        <x:v>0.0572</x:v>
      </x:c>
      <x:c r="L91" s="16" t="n">
        <x:v>0.2</x:v>
      </x:c>
      <x:c r="M91" t="str">
        <x:v>C</x:v>
      </x:c>
      <x:c r="N91" s="14" t="n">
        <x:f>F91*K91*L91</x:f>
        <x:v>722.2004504000001</x:v>
      </x:c>
      <x:c r="O91" s="14" t="n">
        <x:f>F91*K91</x:f>
        <x:v>3611.002252</x:v>
      </x:c>
    </x:row>
    <x:row r="92" ht="21" customHeight="1">
      <x:c r="A92" t="str">
        <x:v>CR-0088</x:v>
      </x:c>
      <x:c r="B92" t="str">
        <x:v>2023-04-10</x:v>
      </x:c>
      <x:c r="C92" t="str">
        <x:v>Particuliers</x:v>
      </x:c>
      <x:c r="D92" t="str">
        <x:v>Investissement</x:v>
      </x:c>
      <x:c r="E92" t="str">
        <x:v>Marrakech</x:v>
      </x:c>
      <x:c r="F92" s="14" t="n">
        <x:v>63958.14</x:v>
      </x:c>
      <x:c r="G92" t="n">
        <x:v>24</x:v>
      </x:c>
      <x:c r="H92" t="n">
        <x:v>7.61</x:v>
      </x:c>
      <x:c r="I92" t="n">
        <x:v>0</x:v>
      </x:c>
      <x:c r="J92" t="str">
        <x:v>À jour</x:v>
      </x:c>
      <x:c r="K92" s="16" t="n">
        <x:v>0.0126</x:v>
      </x:c>
      <x:c r="L92" s="16" t="n">
        <x:v>0.45</x:v>
      </x:c>
      <x:c r="M92" t="str">
        <x:v>A</x:v>
      </x:c>
      <x:c r="N92" s="14" t="n">
        <x:f>F92*K92*L92</x:f>
        <x:v>362.6426538</x:v>
      </x:c>
      <x:c r="O92" s="14" t="n">
        <x:f>F92*K92</x:f>
        <x:v>805.872564</x:v>
      </x:c>
    </x:row>
    <x:row r="93" ht="21" customHeight="1">
      <x:c r="A93" t="str">
        <x:v>CR-0089</x:v>
      </x:c>
      <x:c r="B93" t="str">
        <x:v>2024-05-10</x:v>
      </x:c>
      <x:c r="C93" t="str">
        <x:v>PME</x:v>
      </x:c>
      <x:c r="D93" t="str">
        <x:v>Consommation</x:v>
      </x:c>
      <x:c r="E93" t="str">
        <x:v>Tanger</x:v>
      </x:c>
      <x:c r="F93" s="14" t="n">
        <x:v>83945.71</x:v>
      </x:c>
      <x:c r="G93" t="n">
        <x:v>60</x:v>
      </x:c>
      <x:c r="H93" t="n">
        <x:v>9.93</x:v>
      </x:c>
      <x:c r="I93" t="n">
        <x:v>0</x:v>
      </x:c>
      <x:c r="J93" t="str">
        <x:v>À jour</x:v>
      </x:c>
      <x:c r="K93" s="16" t="n">
        <x:v>0.0531</x:v>
      </x:c>
      <x:c r="L93" s="16" t="n">
        <x:v>0.7</x:v>
      </x:c>
      <x:c r="M93" t="str">
        <x:v>C</x:v>
      </x:c>
      <x:c r="N93" s="14" t="n">
        <x:f>F93*K93*L93</x:f>
        <x:v>3120.2620407000004</x:v>
      </x:c>
      <x:c r="O93" s="14" t="n">
        <x:f>F93*K93</x:f>
        <x:v>4457.517201000001</x:v>
      </x:c>
    </x:row>
    <x:row r="94" ht="21" customHeight="1">
      <x:c r="A94" t="str">
        <x:v>CR-0090</x:v>
      </x:c>
      <x:c r="B94" t="str">
        <x:v>2025-06-10</x:v>
      </x:c>
      <x:c r="C94" t="str">
        <x:v>Particuliers</x:v>
      </x:c>
      <x:c r="D94" t="str">
        <x:v>Trésorerie</x:v>
      </x:c>
      <x:c r="E94" t="str">
        <x:v>Marrakech</x:v>
      </x:c>
      <x:c r="F94" s="14" t="n">
        <x:v>53028.09</x:v>
      </x:c>
      <x:c r="G94" t="n">
        <x:v>84</x:v>
      </x:c>
      <x:c r="H94" t="n">
        <x:v>4.14</x:v>
      </x:c>
      <x:c r="I94" t="n">
        <x:v>0</x:v>
      </x:c>
      <x:c r="J94" t="str">
        <x:v>À jour</x:v>
      </x:c>
      <x:c r="K94" s="16" t="n">
        <x:v>0.0358</x:v>
      </x:c>
      <x:c r="L94" s="16" t="n">
        <x:v>0.6</x:v>
      </x:c>
      <x:c r="M94" t="str">
        <x:v>B</x:v>
      </x:c>
      <x:c r="N94" s="14" t="n">
        <x:f>F94*K94*L94</x:f>
        <x:v>1139.0433732</x:v>
      </x:c>
      <x:c r="O94" s="14" t="n">
        <x:f>F94*K94</x:f>
        <x:v>1898.4056219999998</x:v>
      </x:c>
    </x:row>
    <x:row r="95" ht="21" customHeight="1">
      <x:c r="A95" t="str">
        <x:v>CR-0091</x:v>
      </x:c>
      <x:c r="B95" t="str">
        <x:v>2023-07-10</x:v>
      </x:c>
      <x:c r="C95" t="str">
        <x:v>Particuliers</x:v>
      </x:c>
      <x:c r="D95" t="str">
        <x:v>Équipement</x:v>
      </x:c>
      <x:c r="E95" t="str">
        <x:v>Marrakech</x:v>
      </x:c>
      <x:c r="F95" s="14" t="n">
        <x:v>114798.24</x:v>
      </x:c>
      <x:c r="G95" t="n">
        <x:v>60</x:v>
      </x:c>
      <x:c r="H95" t="n">
        <x:v>8.13</x:v>
      </x:c>
      <x:c r="I95" t="n">
        <x:v>0</x:v>
      </x:c>
      <x:c r="J95" t="str">
        <x:v>À jour</x:v>
      </x:c>
      <x:c r="K95" s="16" t="n">
        <x:v>0.0565</x:v>
      </x:c>
      <x:c r="L95" s="16" t="n">
        <x:v>0.4</x:v>
      </x:c>
      <x:c r="M95" t="str">
        <x:v>C</x:v>
      </x:c>
      <x:c r="N95" s="14" t="n">
        <x:f>F95*K95*L95</x:f>
        <x:v>2594.4402240000004</x:v>
      </x:c>
      <x:c r="O95" s="14" t="n">
        <x:f>F95*K95</x:f>
        <x:v>6486.100560000001</x:v>
      </x:c>
    </x:row>
    <x:row r="96" ht="21" customHeight="1">
      <x:c r="A96" t="str">
        <x:v>CR-0092</x:v>
      </x:c>
      <x:c r="B96" t="str">
        <x:v>2024-08-10</x:v>
      </x:c>
      <x:c r="C96" t="str">
        <x:v>Particuliers</x:v>
      </x:c>
      <x:c r="D96" t="str">
        <x:v>Investissement</x:v>
      </x:c>
      <x:c r="E96" t="str">
        <x:v>Casablanca</x:v>
      </x:c>
      <x:c r="F96" s="14" t="n">
        <x:v>50229.11</x:v>
      </x:c>
      <x:c r="G96" t="n">
        <x:v>120</x:v>
      </x:c>
      <x:c r="H96" t="n">
        <x:v>6.37</x:v>
      </x:c>
      <x:c r="I96" t="n">
        <x:v>0</x:v>
      </x:c>
      <x:c r="J96" t="str">
        <x:v>À jour</x:v>
      </x:c>
      <x:c r="K96" s="16" t="n">
        <x:v>0.0495</x:v>
      </x:c>
      <x:c r="L96" s="16" t="n">
        <x:v>0.45</x:v>
      </x:c>
      <x:c r="M96" t="str">
        <x:v>B</x:v>
      </x:c>
      <x:c r="N96" s="14" t="n">
        <x:f>F96*K96*L96</x:f>
        <x:v>1118.85342525</x:v>
      </x:c>
      <x:c r="O96" s="14" t="n">
        <x:f>F96*K96</x:f>
        <x:v>2486.340945</x:v>
      </x:c>
    </x:row>
    <x:row r="97" ht="21" customHeight="1">
      <x:c r="A97" t="str">
        <x:v>CR-0093</x:v>
      </x:c>
      <x:c r="B97" t="str">
        <x:v>2025-09-10</x:v>
      </x:c>
      <x:c r="C97" t="str">
        <x:v>Professionnels</x:v>
      </x:c>
      <x:c r="D97" t="str">
        <x:v>Investissement</x:v>
      </x:c>
      <x:c r="E97" t="str">
        <x:v>Marrakech</x:v>
      </x:c>
      <x:c r="F97" s="14" t="n">
        <x:v>36976.29</x:v>
      </x:c>
      <x:c r="G97" t="n">
        <x:v>24</x:v>
      </x:c>
      <x:c r="H97" t="n">
        <x:v>8.35</x:v>
      </x:c>
      <x:c r="I97" t="n">
        <x:v>0</x:v>
      </x:c>
      <x:c r="J97" t="str">
        <x:v>À jour</x:v>
      </x:c>
      <x:c r="K97" s="16" t="n">
        <x:v>0.0162</x:v>
      </x:c>
      <x:c r="L97" s="16" t="n">
        <x:v>0.45</x:v>
      </x:c>
      <x:c r="M97" t="str">
        <x:v>A</x:v>
      </x:c>
      <x:c r="N97" s="14" t="n">
        <x:f>F97*K97*L97</x:f>
        <x:v>269.5571541</x:v>
      </x:c>
      <x:c r="O97" s="14" t="n">
        <x:f>F97*K97</x:f>
        <x:v>599.015898</x:v>
      </x:c>
    </x:row>
    <x:row r="98" ht="21" customHeight="1">
      <x:c r="A98" t="str">
        <x:v>CR-0094</x:v>
      </x:c>
      <x:c r="B98" t="str">
        <x:v>2023-10-10</x:v>
      </x:c>
      <x:c r="C98" t="str">
        <x:v>Particuliers</x:v>
      </x:c>
      <x:c r="D98" t="str">
        <x:v>Consommation</x:v>
      </x:c>
      <x:c r="E98" t="str">
        <x:v>Marrakech</x:v>
      </x:c>
      <x:c r="F98" s="14" t="n">
        <x:v>44948.02</x:v>
      </x:c>
      <x:c r="G98" t="n">
        <x:v>48</x:v>
      </x:c>
      <x:c r="H98" t="n">
        <x:v>4.02</x:v>
      </x:c>
      <x:c r="I98" t="n">
        <x:v>0</x:v>
      </x:c>
      <x:c r="J98" t="str">
        <x:v>À jour</x:v>
      </x:c>
      <x:c r="K98" s="16" t="n">
        <x:v>0.0543</x:v>
      </x:c>
      <x:c r="L98" s="16" t="n">
        <x:v>0.7</x:v>
      </x:c>
      <x:c r="M98" t="str">
        <x:v>C</x:v>
      </x:c>
      <x:c r="N98" s="14" t="n">
        <x:f>F98*K98*L98</x:f>
        <x:v>1708.4742402</x:v>
      </x:c>
      <x:c r="O98" s="14" t="n">
        <x:f>F98*K98</x:f>
        <x:v>2440.677486</x:v>
      </x:c>
    </x:row>
    <x:row r="99" ht="21" customHeight="1">
      <x:c r="A99" t="str">
        <x:v>CR-0095</x:v>
      </x:c>
      <x:c r="B99" t="str">
        <x:v>2024-11-10</x:v>
      </x:c>
      <x:c r="C99" t="str">
        <x:v>PME</x:v>
      </x:c>
      <x:c r="D99" t="str">
        <x:v>Équipement</x:v>
      </x:c>
      <x:c r="E99" t="str">
        <x:v>Tanger</x:v>
      </x:c>
      <x:c r="F99" s="14" t="n">
        <x:v>114037.33</x:v>
      </x:c>
      <x:c r="G99" t="n">
        <x:v>36</x:v>
      </x:c>
      <x:c r="H99" t="n">
        <x:v>3.85</x:v>
      </x:c>
      <x:c r="I99" t="n">
        <x:v>19</x:v>
      </x:c>
      <x:c r="J99" t="str">
        <x:v>Impayé</x:v>
      </x:c>
      <x:c r="K99" s="16" t="n">
        <x:v>0.0513</x:v>
      </x:c>
      <x:c r="L99" s="16" t="n">
        <x:v>0.4</x:v>
      </x:c>
      <x:c r="M99" t="str">
        <x:v>C</x:v>
      </x:c>
      <x:c r="N99" s="14" t="n">
        <x:f>F99*K99*L99</x:f>
        <x:v>2340.0460116</x:v>
      </x:c>
      <x:c r="O99" s="14" t="n">
        <x:f>F99*K99</x:f>
        <x:v>5850.115029</x:v>
      </x:c>
    </x:row>
    <x:row r="100" ht="21" customHeight="1">
      <x:c r="A100" t="str">
        <x:v>CR-0096</x:v>
      </x:c>
      <x:c r="B100" t="str">
        <x:v>2025-12-10</x:v>
      </x:c>
      <x:c r="C100" t="str">
        <x:v>TPE</x:v>
      </x:c>
      <x:c r="D100" t="str">
        <x:v>Consommation</x:v>
      </x:c>
      <x:c r="E100" t="str">
        <x:v>Marrakech</x:v>
      </x:c>
      <x:c r="F100" s="14" t="n">
        <x:v>47523.19</x:v>
      </x:c>
      <x:c r="G100" t="n">
        <x:v>60</x:v>
      </x:c>
      <x:c r="H100" t="n">
        <x:v>4.2</x:v>
      </x:c>
      <x:c r="I100" t="n">
        <x:v>0</x:v>
      </x:c>
      <x:c r="J100" t="str">
        <x:v>À jour</x:v>
      </x:c>
      <x:c r="K100" s="16" t="n">
        <x:v>0.0388</x:v>
      </x:c>
      <x:c r="L100" s="16" t="n">
        <x:v>0.7</x:v>
      </x:c>
      <x:c r="M100" t="str">
        <x:v>B</x:v>
      </x:c>
      <x:c r="N100" s="14" t="n">
        <x:f>F100*K100*L100</x:f>
        <x:v>1290.7298404</x:v>
      </x:c>
      <x:c r="O100" s="14" t="n">
        <x:f>F100*K100</x:f>
        <x:v>1843.8997720000002</x:v>
      </x:c>
    </x:row>
    <x:row r="101" ht="21" customHeight="1">
      <x:c r="A101" t="str">
        <x:v>CR-0097</x:v>
      </x:c>
      <x:c r="B101" t="str">
        <x:v>2023-01-10</x:v>
      </x:c>
      <x:c r="C101" t="str">
        <x:v>Professionnels</x:v>
      </x:c>
      <x:c r="D101" t="str">
        <x:v>Habitat</x:v>
      </x:c>
      <x:c r="E101" t="str">
        <x:v>Casablanca</x:v>
      </x:c>
      <x:c r="F101" s="14" t="n">
        <x:v>38632.65</x:v>
      </x:c>
      <x:c r="G101" t="n">
        <x:v>120</x:v>
      </x:c>
      <x:c r="H101" t="n">
        <x:v>8.02</x:v>
      </x:c>
      <x:c r="I101" t="n">
        <x:v>0</x:v>
      </x:c>
      <x:c r="J101" t="str">
        <x:v>À jour</x:v>
      </x:c>
      <x:c r="K101" s="16" t="n">
        <x:v>0.0604</x:v>
      </x:c>
      <x:c r="L101" s="16" t="n">
        <x:v>0.2</x:v>
      </x:c>
      <x:c r="M101" t="str">
        <x:v>C</x:v>
      </x:c>
      <x:c r="N101" s="14" t="n">
        <x:f>F101*K101*L101</x:f>
        <x:v>466.68241200000006</x:v>
      </x:c>
      <x:c r="O101" s="14" t="n">
        <x:f>F101*K101</x:f>
        <x:v>2333.41206</x:v>
      </x:c>
    </x:row>
    <x:row r="102" ht="21" customHeight="1">
      <x:c r="A102" t="str">
        <x:v>CR-0098</x:v>
      </x:c>
      <x:c r="B102" t="str">
        <x:v>2024-02-10</x:v>
      </x:c>
      <x:c r="C102" t="str">
        <x:v>Particuliers</x:v>
      </x:c>
      <x:c r="D102" t="str">
        <x:v>Habitat</x:v>
      </x:c>
      <x:c r="E102" t="str">
        <x:v>Fès</x:v>
      </x:c>
      <x:c r="F102" s="14" t="n">
        <x:v>54461.09</x:v>
      </x:c>
      <x:c r="G102" t="n">
        <x:v>48</x:v>
      </x:c>
      <x:c r="H102" t="n">
        <x:v>8.03</x:v>
      </x:c>
      <x:c r="I102" t="n">
        <x:v>0</x:v>
      </x:c>
      <x:c r="J102" t="str">
        <x:v>À jour</x:v>
      </x:c>
      <x:c r="K102" s="16" t="n">
        <x:v>0.0648</x:v>
      </x:c>
      <x:c r="L102" s="16" t="n">
        <x:v>0.2</x:v>
      </x:c>
      <x:c r="M102" t="str">
        <x:v>C</x:v>
      </x:c>
      <x:c r="N102" s="14" t="n">
        <x:f>F102*K102*L102</x:f>
        <x:v>705.8157264</x:v>
      </x:c>
      <x:c r="O102" s="14" t="n">
        <x:f>F102*K102</x:f>
        <x:v>3529.0786319999997</x:v>
      </x:c>
    </x:row>
    <x:row r="103" ht="21" customHeight="1">
      <x:c r="A103" t="str">
        <x:v>CR-0099</x:v>
      </x:c>
      <x:c r="B103" t="str">
        <x:v>2025-03-10</x:v>
      </x:c>
      <x:c r="C103" t="str">
        <x:v>Particuliers</x:v>
      </x:c>
      <x:c r="D103" t="str">
        <x:v>Investissement</x:v>
      </x:c>
      <x:c r="E103" t="str">
        <x:v>Rabat</x:v>
      </x:c>
      <x:c r="F103" s="14" t="n">
        <x:v>71790.63</x:v>
      </x:c>
      <x:c r="G103" t="n">
        <x:v>48</x:v>
      </x:c>
      <x:c r="H103" t="n">
        <x:v>9.67</x:v>
      </x:c>
      <x:c r="I103" t="n">
        <x:v>0</x:v>
      </x:c>
      <x:c r="J103" t="str">
        <x:v>À jour</x:v>
      </x:c>
      <x:c r="K103" s="16" t="n">
        <x:v>0.0371</x:v>
      </x:c>
      <x:c r="L103" s="16" t="n">
        <x:v>0.45</x:v>
      </x:c>
      <x:c r="M103" t="str">
        <x:v>B</x:v>
      </x:c>
      <x:c r="N103" s="14" t="n">
        <x:f>F103*K103*L103</x:f>
        <x:v>1198.54456785</x:v>
      </x:c>
      <x:c r="O103" s="14" t="n">
        <x:f>F103*K103</x:f>
        <x:v>2663.432373</x:v>
      </x:c>
    </x:row>
    <x:row r="104" ht="21" customHeight="1">
      <x:c r="A104" t="str">
        <x:v>CR-0100</x:v>
      </x:c>
      <x:c r="B104" t="str">
        <x:v>2023-04-10</x:v>
      </x:c>
      <x:c r="C104" t="str">
        <x:v>Particuliers</x:v>
      </x:c>
      <x:c r="D104" t="str">
        <x:v>Habitat</x:v>
      </x:c>
      <x:c r="E104" t="str">
        <x:v>Casablanca</x:v>
      </x:c>
      <x:c r="F104" s="14" t="n">
        <x:v>95991.34</x:v>
      </x:c>
      <x:c r="G104" t="n">
        <x:v>48</x:v>
      </x:c>
      <x:c r="H104" t="n">
        <x:v>5.89</x:v>
      </x:c>
      <x:c r="I104" t="n">
        <x:v>0</x:v>
      </x:c>
      <x:c r="J104" t="str">
        <x:v>À jour</x:v>
      </x:c>
      <x:c r="K104" s="16" t="n">
        <x:v>0.0285</x:v>
      </x:c>
      <x:c r="L104" s="16" t="n">
        <x:v>0.2</x:v>
      </x:c>
      <x:c r="M104" t="str">
        <x:v>B</x:v>
      </x:c>
      <x:c r="N104" s="14" t="n">
        <x:f>F104*K104*L104</x:f>
        <x:v>547.150638</x:v>
      </x:c>
      <x:c r="O104" s="14" t="n">
        <x:f>F104*K104</x:f>
        <x:v>2735.75319</x:v>
      </x:c>
    </x:row>
    <x:row r="105" ht="21" customHeight="1">
      <x:c r="A105" t="str">
        <x:v>CR-0101</x:v>
      </x:c>
      <x:c r="B105" t="str">
        <x:v>2024-05-10</x:v>
      </x:c>
      <x:c r="C105" t="str">
        <x:v>Particuliers</x:v>
      </x:c>
      <x:c r="D105" t="str">
        <x:v>Investissement</x:v>
      </x:c>
      <x:c r="E105" t="str">
        <x:v>Casablanca</x:v>
      </x:c>
      <x:c r="F105" s="14" t="n">
        <x:v>46540.11</x:v>
      </x:c>
      <x:c r="G105" t="n">
        <x:v>36</x:v>
      </x:c>
      <x:c r="H105" t="n">
        <x:v>7.9</x:v>
      </x:c>
      <x:c r="I105" t="n">
        <x:v>0</x:v>
      </x:c>
      <x:c r="J105" t="str">
        <x:v>À jour</x:v>
      </x:c>
      <x:c r="K105" s="16" t="n">
        <x:v>0.0461</x:v>
      </x:c>
      <x:c r="L105" s="16" t="n">
        <x:v>0.45</x:v>
      </x:c>
      <x:c r="M105" t="str">
        <x:v>B</x:v>
      </x:c>
      <x:c r="N105" s="14" t="n">
        <x:f>F105*K105*L105</x:f>
        <x:v>965.4745819500001</x:v>
      </x:c>
      <x:c r="O105" s="14" t="n">
        <x:f>F105*K105</x:f>
        <x:v>2145.499071</x:v>
      </x:c>
    </x:row>
    <x:row r="106" ht="21" customHeight="1">
      <x:c r="A106" t="str">
        <x:v>CR-0102</x:v>
      </x:c>
      <x:c r="B106" t="str">
        <x:v>2025-06-10</x:v>
      </x:c>
      <x:c r="C106" t="str">
        <x:v>TPE</x:v>
      </x:c>
      <x:c r="D106" t="str">
        <x:v>Trésorerie</x:v>
      </x:c>
      <x:c r="E106" t="str">
        <x:v>Casablanca</x:v>
      </x:c>
      <x:c r="F106" s="14" t="n">
        <x:v>107860.21</x:v>
      </x:c>
      <x:c r="G106" t="n">
        <x:v>60</x:v>
      </x:c>
      <x:c r="H106" t="n">
        <x:v>10.49</x:v>
      </x:c>
      <x:c r="I106" t="n">
        <x:v>0</x:v>
      </x:c>
      <x:c r="J106" t="str">
        <x:v>À jour</x:v>
      </x:c>
      <x:c r="K106" s="16" t="n">
        <x:v>0.0344</x:v>
      </x:c>
      <x:c r="L106" s="16" t="n">
        <x:v>0.6</x:v>
      </x:c>
      <x:c r="M106" t="str">
        <x:v>B</x:v>
      </x:c>
      <x:c r="N106" s="14" t="n">
        <x:f>F106*K106*L106</x:f>
        <x:v>2226.2347344</x:v>
      </x:c>
      <x:c r="O106" s="14" t="n">
        <x:f>F106*K106</x:f>
        <x:v>3710.3912240000004</x:v>
      </x:c>
    </x:row>
    <x:row r="107" ht="21" customHeight="1">
      <x:c r="A107" t="str">
        <x:v>CR-0103</x:v>
      </x:c>
      <x:c r="B107" t="str">
        <x:v>2023-07-10</x:v>
      </x:c>
      <x:c r="C107" t="str">
        <x:v>Particuliers</x:v>
      </x:c>
      <x:c r="D107" t="str">
        <x:v>Consommation</x:v>
      </x:c>
      <x:c r="E107" t="str">
        <x:v>Fès</x:v>
      </x:c>
      <x:c r="F107" s="14" t="n">
        <x:v>32134.69</x:v>
      </x:c>
      <x:c r="G107" t="n">
        <x:v>60</x:v>
      </x:c>
      <x:c r="H107" t="n">
        <x:v>4.47</x:v>
      </x:c>
      <x:c r="I107" t="n">
        <x:v>0</x:v>
      </x:c>
      <x:c r="J107" t="str">
        <x:v>À jour</x:v>
      </x:c>
      <x:c r="K107" s="16" t="n">
        <x:v>0.0593</x:v>
      </x:c>
      <x:c r="L107" s="16" t="n">
        <x:v>0.7</x:v>
      </x:c>
      <x:c r="M107" t="str">
        <x:v>C</x:v>
      </x:c>
      <x:c r="N107" s="14" t="n">
        <x:f>F107*K107*L107</x:f>
        <x:v>1333.9109818999998</x:v>
      </x:c>
      <x:c r="O107" s="14" t="n">
        <x:f>F107*K107</x:f>
        <x:v>1905.5871169999998</x:v>
      </x:c>
    </x:row>
    <x:row r="108" ht="21" customHeight="1">
      <x:c r="A108" t="str">
        <x:v>CR-0104</x:v>
      </x:c>
      <x:c r="B108" t="str">
        <x:v>2024-08-10</x:v>
      </x:c>
      <x:c r="C108" t="str">
        <x:v>Particuliers</x:v>
      </x:c>
      <x:c r="D108" t="str">
        <x:v>Investissement</x:v>
      </x:c>
      <x:c r="E108" t="str">
        <x:v>Casablanca</x:v>
      </x:c>
      <x:c r="F108" s="14" t="n">
        <x:v>58184.79</x:v>
      </x:c>
      <x:c r="G108" t="n">
        <x:v>120</x:v>
      </x:c>
      <x:c r="H108" t="n">
        <x:v>4.77</x:v>
      </x:c>
      <x:c r="I108" t="n">
        <x:v>0</x:v>
      </x:c>
      <x:c r="J108" t="str">
        <x:v>À jour</x:v>
      </x:c>
      <x:c r="K108" s="16" t="n">
        <x:v>0.0274</x:v>
      </x:c>
      <x:c r="L108" s="16" t="n">
        <x:v>0.45</x:v>
      </x:c>
      <x:c r="M108" t="str">
        <x:v>B</x:v>
      </x:c>
      <x:c r="N108" s="14" t="n">
        <x:f>F108*K108*L108</x:f>
        <x:v>717.4184607</x:v>
      </x:c>
      <x:c r="O108" s="14" t="n">
        <x:f>F108*K108</x:f>
        <x:v>1594.263246</x:v>
      </x:c>
    </x:row>
    <x:row r="109" ht="21" customHeight="1">
      <x:c r="A109" t="str">
        <x:v>CR-0105</x:v>
      </x:c>
      <x:c r="B109" t="str">
        <x:v>2025-09-10</x:v>
      </x:c>
      <x:c r="C109" t="str">
        <x:v>PME</x:v>
      </x:c>
      <x:c r="D109" t="str">
        <x:v>Équipement</x:v>
      </x:c>
      <x:c r="E109" t="str">
        <x:v>Rabat</x:v>
      </x:c>
      <x:c r="F109" s="14" t="n">
        <x:v>74446.44</x:v>
      </x:c>
      <x:c r="G109" t="n">
        <x:v>84</x:v>
      </x:c>
      <x:c r="H109" t="n">
        <x:v>9.69</x:v>
      </x:c>
      <x:c r="I109" t="n">
        <x:v>0</x:v>
      </x:c>
      <x:c r="J109" t="str">
        <x:v>À jour</x:v>
      </x:c>
      <x:c r="K109" s="16" t="n">
        <x:v>0.0258</x:v>
      </x:c>
      <x:c r="L109" s="16" t="n">
        <x:v>0.4</x:v>
      </x:c>
      <x:c r="M109" t="str">
        <x:v>B</x:v>
      </x:c>
      <x:c r="N109" s="14" t="n">
        <x:f>F109*K109*L109</x:f>
        <x:v>768.2872608000001</x:v>
      </x:c>
      <x:c r="O109" s="14" t="n">
        <x:f>F109*K109</x:f>
        <x:v>1920.7181520000001</x:v>
      </x:c>
    </x:row>
    <x:row r="110" ht="21" customHeight="1">
      <x:c r="A110" t="str">
        <x:v>CR-0106</x:v>
      </x:c>
      <x:c r="B110" t="str">
        <x:v>2023-10-10</x:v>
      </x:c>
      <x:c r="C110" t="str">
        <x:v>TPE</x:v>
      </x:c>
      <x:c r="D110" t="str">
        <x:v>Trésorerie</x:v>
      </x:c>
      <x:c r="E110" t="str">
        <x:v>Fès</x:v>
      </x:c>
      <x:c r="F110" s="14" t="n">
        <x:v>114565.31</x:v>
      </x:c>
      <x:c r="G110" t="n">
        <x:v>24</x:v>
      </x:c>
      <x:c r="H110" t="n">
        <x:v>8.62</x:v>
      </x:c>
      <x:c r="I110" t="n">
        <x:v>0</x:v>
      </x:c>
      <x:c r="J110" t="str">
        <x:v>À jour</x:v>
      </x:c>
      <x:c r="K110" s="16" t="n">
        <x:v>0.0291</x:v>
      </x:c>
      <x:c r="L110" s="16" t="n">
        <x:v>0.6</x:v>
      </x:c>
      <x:c r="M110" t="str">
        <x:v>B</x:v>
      </x:c>
      <x:c r="N110" s="14" t="n">
        <x:f>F110*K110*L110</x:f>
        <x:v>2000.3103125999999</x:v>
      </x:c>
      <x:c r="O110" s="14" t="n">
        <x:f>F110*K110</x:f>
        <x:v>3333.850521</x:v>
      </x:c>
    </x:row>
    <x:row r="111" ht="21" customHeight="1">
      <x:c r="A111" t="str">
        <x:v>CR-0107</x:v>
      </x:c>
      <x:c r="B111" t="str">
        <x:v>2024-11-10</x:v>
      </x:c>
      <x:c r="C111" t="str">
        <x:v>TPE</x:v>
      </x:c>
      <x:c r="D111" t="str">
        <x:v>Consommation</x:v>
      </x:c>
      <x:c r="E111" t="str">
        <x:v>Fès</x:v>
      </x:c>
      <x:c r="F111" s="14" t="n">
        <x:v>104679.29</x:v>
      </x:c>
      <x:c r="G111" t="n">
        <x:v>36</x:v>
      </x:c>
      <x:c r="H111" t="n">
        <x:v>7.75</x:v>
      </x:c>
      <x:c r="I111" t="n">
        <x:v>0</x:v>
      </x:c>
      <x:c r="J111" t="str">
        <x:v>À jour</x:v>
      </x:c>
      <x:c r="K111" s="16" t="n">
        <x:v>0.0216</x:v>
      </x:c>
      <x:c r="L111" s="16" t="n">
        <x:v>0.7</x:v>
      </x:c>
      <x:c r="M111" t="str">
        <x:v>B</x:v>
      </x:c>
      <x:c r="N111" s="14" t="n">
        <x:f>F111*K111*L111</x:f>
        <x:v>1582.7508647999998</x:v>
      </x:c>
      <x:c r="O111" s="14" t="n">
        <x:f>F111*K111</x:f>
        <x:v>2261.072664</x:v>
      </x:c>
    </x:row>
    <x:row r="112" ht="21" customHeight="1">
      <x:c r="A112" t="str">
        <x:v>CR-0108</x:v>
      </x:c>
      <x:c r="B112" t="str">
        <x:v>2025-12-10</x:v>
      </x:c>
      <x:c r="C112" t="str">
        <x:v>Particuliers</x:v>
      </x:c>
      <x:c r="D112" t="str">
        <x:v>Consommation</x:v>
      </x:c>
      <x:c r="E112" t="str">
        <x:v>Fès</x:v>
      </x:c>
      <x:c r="F112" s="14" t="n">
        <x:v>43341.08</x:v>
      </x:c>
      <x:c r="G112" t="n">
        <x:v>60</x:v>
      </x:c>
      <x:c r="H112" t="n">
        <x:v>5.8</x:v>
      </x:c>
      <x:c r="I112" t="n">
        <x:v>0</x:v>
      </x:c>
      <x:c r="J112" t="str">
        <x:v>À jour</x:v>
      </x:c>
      <x:c r="K112" s="16" t="n">
        <x:v>0.0311</x:v>
      </x:c>
      <x:c r="L112" s="16" t="n">
        <x:v>0.7</x:v>
      </x:c>
      <x:c r="M112" t="str">
        <x:v>B</x:v>
      </x:c>
      <x:c r="N112" s="14" t="n">
        <x:f>F112*K112*L112</x:f>
        <x:v>943.5353116</x:v>
      </x:c>
      <x:c r="O112" s="14" t="n">
        <x:f>F112*K112</x:f>
        <x:v>1347.907588</x:v>
      </x:c>
    </x:row>
    <x:row r="113" ht="21" customHeight="1">
      <x:c r="A113" t="str">
        <x:v>CR-0109</x:v>
      </x:c>
      <x:c r="B113" t="str">
        <x:v>2023-01-10</x:v>
      </x:c>
      <x:c r="C113" t="str">
        <x:v>Particuliers</x:v>
      </x:c>
      <x:c r="D113" t="str">
        <x:v>Trésorerie</x:v>
      </x:c>
      <x:c r="E113" t="str">
        <x:v>Marrakech</x:v>
      </x:c>
      <x:c r="F113" s="14" t="n">
        <x:v>87841.91</x:v>
      </x:c>
      <x:c r="G113" t="n">
        <x:v>84</x:v>
      </x:c>
      <x:c r="H113" t="n">
        <x:v>10.44</x:v>
      </x:c>
      <x:c r="I113" t="n">
        <x:v>0</x:v>
      </x:c>
      <x:c r="J113" t="str">
        <x:v>À jour</x:v>
      </x:c>
      <x:c r="K113" s="16" t="n">
        <x:v>0.0635</x:v>
      </x:c>
      <x:c r="L113" s="16" t="n">
        <x:v>0.6</x:v>
      </x:c>
      <x:c r="M113" t="str">
        <x:v>C</x:v>
      </x:c>
      <x:c r="N113" s="14" t="n">
        <x:f>F113*K113*L113</x:f>
        <x:v>3346.7767710000003</x:v>
      </x:c>
      <x:c r="O113" s="14" t="n">
        <x:f>F113*K113</x:f>
        <x:v>5577.961285</x:v>
      </x:c>
    </x:row>
    <x:row r="114" ht="21" customHeight="1">
      <x:c r="A114" t="str">
        <x:v>CR-0110</x:v>
      </x:c>
      <x:c r="B114" t="str">
        <x:v>2024-02-10</x:v>
      </x:c>
      <x:c r="C114" t="str">
        <x:v>Particuliers</x:v>
      </x:c>
      <x:c r="D114" t="str">
        <x:v>Investissement</x:v>
      </x:c>
      <x:c r="E114" t="str">
        <x:v>Marrakech</x:v>
      </x:c>
      <x:c r="F114" s="14" t="n">
        <x:v>88428.2</x:v>
      </x:c>
      <x:c r="G114" t="n">
        <x:v>48</x:v>
      </x:c>
      <x:c r="H114" t="n">
        <x:v>5.12</x:v>
      </x:c>
      <x:c r="I114" t="n">
        <x:v>0</x:v>
      </x:c>
      <x:c r="J114" t="str">
        <x:v>À jour</x:v>
      </x:c>
      <x:c r="K114" s="16" t="n">
        <x:v>0.0631</x:v>
      </x:c>
      <x:c r="L114" s="16" t="n">
        <x:v>0.45</x:v>
      </x:c>
      <x:c r="M114" t="str">
        <x:v>C</x:v>
      </x:c>
      <x:c r="N114" s="14" t="n">
        <x:f>F114*K114*L114</x:f>
        <x:v>2510.918739</x:v>
      </x:c>
      <x:c r="O114" s="14" t="n">
        <x:f>F114*K114</x:f>
        <x:v>5579.81942</x:v>
      </x:c>
    </x:row>
    <x:row r="115" ht="21" customHeight="1">
      <x:c r="A115" t="str">
        <x:v>CR-0111</x:v>
      </x:c>
      <x:c r="B115" t="str">
        <x:v>2025-03-10</x:v>
      </x:c>
      <x:c r="C115" t="str">
        <x:v>Particuliers</x:v>
      </x:c>
      <x:c r="D115" t="str">
        <x:v>Équipement</x:v>
      </x:c>
      <x:c r="E115" t="str">
        <x:v>Marrakech</x:v>
      </x:c>
      <x:c r="F115" s="14" t="n">
        <x:v>108562.31</x:v>
      </x:c>
      <x:c r="G115" t="n">
        <x:v>84</x:v>
      </x:c>
      <x:c r="H115" t="n">
        <x:v>9.76</x:v>
      </x:c>
      <x:c r="I115" t="n">
        <x:v>0</x:v>
      </x:c>
      <x:c r="J115" t="str">
        <x:v>À jour</x:v>
      </x:c>
      <x:c r="K115" s="16" t="n">
        <x:v>0.0445</x:v>
      </x:c>
      <x:c r="L115" s="16" t="n">
        <x:v>0.4</x:v>
      </x:c>
      <x:c r="M115" t="str">
        <x:v>B</x:v>
      </x:c>
      <x:c r="N115" s="14" t="n">
        <x:f>F115*K115*L115</x:f>
        <x:v>1932.409118</x:v>
      </x:c>
      <x:c r="O115" s="14" t="n">
        <x:f>F115*K115</x:f>
        <x:v>4831.022795</x:v>
      </x:c>
    </x:row>
    <x:row r="116" ht="21" customHeight="1">
      <x:c r="A116" t="str">
        <x:v>CR-0112</x:v>
      </x:c>
      <x:c r="B116" t="str">
        <x:v>2023-04-10</x:v>
      </x:c>
      <x:c r="C116" t="str">
        <x:v>TPE</x:v>
      </x:c>
      <x:c r="D116" t="str">
        <x:v>Habitat</x:v>
      </x:c>
      <x:c r="E116" t="str">
        <x:v>Rabat</x:v>
      </x:c>
      <x:c r="F116" s="14" t="n">
        <x:v>60018.21</x:v>
      </x:c>
      <x:c r="G116" t="n">
        <x:v>36</x:v>
      </x:c>
      <x:c r="H116" t="n">
        <x:v>5.56</x:v>
      </x:c>
      <x:c r="I116" t="n">
        <x:v>0</x:v>
      </x:c>
      <x:c r="J116" t="str">
        <x:v>À jour</x:v>
      </x:c>
      <x:c r="K116" s="16" t="n">
        <x:v>0.0578</x:v>
      </x:c>
      <x:c r="L116" s="16" t="n">
        <x:v>0.2</x:v>
      </x:c>
      <x:c r="M116" t="str">
        <x:v>C</x:v>
      </x:c>
      <x:c r="N116" s="14" t="n">
        <x:f>F116*K116*L116</x:f>
        <x:v>693.8105076</x:v>
      </x:c>
      <x:c r="O116" s="14" t="n">
        <x:f>F116*K116</x:f>
        <x:v>3469.052538</x:v>
      </x:c>
    </x:row>
    <x:row r="117" ht="21" customHeight="1">
      <x:c r="A117" t="str">
        <x:v>CR-0113</x:v>
      </x:c>
      <x:c r="B117" t="str">
        <x:v>2024-05-10</x:v>
      </x:c>
      <x:c r="C117" t="str">
        <x:v>Professionnels</x:v>
      </x:c>
      <x:c r="D117" t="str">
        <x:v>Investissement</x:v>
      </x:c>
      <x:c r="E117" t="str">
        <x:v>Fès</x:v>
      </x:c>
      <x:c r="F117" s="14" t="n">
        <x:v>113075.97</x:v>
      </x:c>
      <x:c r="G117" t="n">
        <x:v>84</x:v>
      </x:c>
      <x:c r="H117" t="n">
        <x:v>5.98</x:v>
      </x:c>
      <x:c r="I117" t="n">
        <x:v>0</x:v>
      </x:c>
      <x:c r="J117" t="str">
        <x:v>À jour</x:v>
      </x:c>
      <x:c r="K117" s="16" t="n">
        <x:v>0.0427</x:v>
      </x:c>
      <x:c r="L117" s="16" t="n">
        <x:v>0.45</x:v>
      </x:c>
      <x:c r="M117" t="str">
        <x:v>B</x:v>
      </x:c>
      <x:c r="N117" s="14" t="n">
        <x:f>F117*K117*L117</x:f>
        <x:v>2172.75476355</x:v>
      </x:c>
      <x:c r="O117" s="14" t="n">
        <x:f>F117*K117</x:f>
        <x:v>4828.343919</x:v>
      </x:c>
    </x:row>
    <x:row r="118" ht="21" customHeight="1">
      <x:c r="A118" t="str">
        <x:v>CR-0114</x:v>
      </x:c>
      <x:c r="B118" t="str">
        <x:v>2025-06-10</x:v>
      </x:c>
      <x:c r="C118" t="str">
        <x:v>Particuliers</x:v>
      </x:c>
      <x:c r="D118" t="str">
        <x:v>Équipement</x:v>
      </x:c>
      <x:c r="E118" t="str">
        <x:v>Rabat</x:v>
      </x:c>
      <x:c r="F118" s="14" t="n">
        <x:v>29760.62</x:v>
      </x:c>
      <x:c r="G118" t="n">
        <x:v>36</x:v>
      </x:c>
      <x:c r="H118" t="n">
        <x:v>10.14</x:v>
      </x:c>
      <x:c r="I118" t="n">
        <x:v>0</x:v>
      </x:c>
      <x:c r="J118" t="str">
        <x:v>À jour</x:v>
      </x:c>
      <x:c r="K118" s="16" t="n">
        <x:v>0.0612</x:v>
      </x:c>
      <x:c r="L118" s="16" t="n">
        <x:v>0.4</x:v>
      </x:c>
      <x:c r="M118" t="str">
        <x:v>C</x:v>
      </x:c>
      <x:c r="N118" s="14" t="n">
        <x:f>F118*K118*L118</x:f>
        <x:v>728.5399775999999</x:v>
      </x:c>
      <x:c r="O118" s="14" t="n">
        <x:f>F118*K118</x:f>
        <x:v>1821.3499439999998</x:v>
      </x:c>
    </x:row>
    <x:row r="119" ht="21" customHeight="1">
      <x:c r="A119" t="str">
        <x:v>CR-0115</x:v>
      </x:c>
      <x:c r="B119" t="str">
        <x:v>2023-07-10</x:v>
      </x:c>
      <x:c r="C119" t="str">
        <x:v>TPE</x:v>
      </x:c>
      <x:c r="D119" t="str">
        <x:v>Trésorerie</x:v>
      </x:c>
      <x:c r="E119" t="str">
        <x:v>Casablanca</x:v>
      </x:c>
      <x:c r="F119" s="14" t="n">
        <x:v>68716.05</x:v>
      </x:c>
      <x:c r="G119" t="n">
        <x:v>36</x:v>
      </x:c>
      <x:c r="H119" t="n">
        <x:v>5.65</x:v>
      </x:c>
      <x:c r="I119" t="n">
        <x:v>0</x:v>
      </x:c>
      <x:c r="J119" t="str">
        <x:v>À jour</x:v>
      </x:c>
      <x:c r="K119" s="16" t="n">
        <x:v>0.0395</x:v>
      </x:c>
      <x:c r="L119" s="16" t="n">
        <x:v>0.6</x:v>
      </x:c>
      <x:c r="M119" t="str">
        <x:v>B</x:v>
      </x:c>
      <x:c r="N119" s="14" t="n">
        <x:f>F119*K119*L119</x:f>
        <x:v>1628.5703850000002</x:v>
      </x:c>
      <x:c r="O119" s="14" t="n">
        <x:f>F119*K119</x:f>
        <x:v>2714.2839750000003</x:v>
      </x:c>
    </x:row>
    <x:row r="120" ht="21" customHeight="1">
      <x:c r="A120" t="str">
        <x:v>CR-0116</x:v>
      </x:c>
      <x:c r="B120" t="str">
        <x:v>2024-08-10</x:v>
      </x:c>
      <x:c r="C120" t="str">
        <x:v>Particuliers</x:v>
      </x:c>
      <x:c r="D120" t="str">
        <x:v>Consommation</x:v>
      </x:c>
      <x:c r="E120" t="str">
        <x:v>Rabat</x:v>
      </x:c>
      <x:c r="F120" s="14" t="n">
        <x:v>104853.34</x:v>
      </x:c>
      <x:c r="G120" t="n">
        <x:v>48</x:v>
      </x:c>
      <x:c r="H120" t="n">
        <x:v>8.94</x:v>
      </x:c>
      <x:c r="I120" t="n">
        <x:v>0</x:v>
      </x:c>
      <x:c r="J120" t="str">
        <x:v>À jour</x:v>
      </x:c>
      <x:c r="K120" s="16" t="n">
        <x:v>0.0131</x:v>
      </x:c>
      <x:c r="L120" s="16" t="n">
        <x:v>0.7</x:v>
      </x:c>
      <x:c r="M120" t="str">
        <x:v>A</x:v>
      </x:c>
      <x:c r="N120" s="14" t="n">
        <x:f>F120*K120*L120</x:f>
        <x:v>961.5051278</x:v>
      </x:c>
      <x:c r="O120" s="14" t="n">
        <x:f>F120*K120</x:f>
        <x:v>1373.5787540000001</x:v>
      </x:c>
    </x:row>
    <x:row r="121" ht="21" customHeight="1">
      <x:c r="A121" t="str">
        <x:v>CR-0117</x:v>
      </x:c>
      <x:c r="B121" t="str">
        <x:v>2025-09-10</x:v>
      </x:c>
      <x:c r="C121" t="str">
        <x:v>Particuliers</x:v>
      </x:c>
      <x:c r="D121" t="str">
        <x:v>Investissement</x:v>
      </x:c>
      <x:c r="E121" t="str">
        <x:v>Fès</x:v>
      </x:c>
      <x:c r="F121" s="14" t="n">
        <x:v>36543.36</x:v>
      </x:c>
      <x:c r="G121" t="n">
        <x:v>60</x:v>
      </x:c>
      <x:c r="H121" t="n">
        <x:v>5.72</x:v>
      </x:c>
      <x:c r="I121" t="n">
        <x:v>0</x:v>
      </x:c>
      <x:c r="J121" t="str">
        <x:v>À jour</x:v>
      </x:c>
      <x:c r="K121" s="16" t="n">
        <x:v>0.0524</x:v>
      </x:c>
      <x:c r="L121" s="16" t="n">
        <x:v>0.45</x:v>
      </x:c>
      <x:c r="M121" t="str">
        <x:v>C</x:v>
      </x:c>
      <x:c r="N121" s="14" t="n">
        <x:f>F121*K121*L121</x:f>
        <x:v>861.6924288000001</x:v>
      </x:c>
      <x:c r="O121" s="14" t="n">
        <x:f>F121*K121</x:f>
        <x:v>1914.8720640000001</x:v>
      </x:c>
    </x:row>
    <x:row r="122" ht="21" customHeight="1">
      <x:c r="A122" t="str">
        <x:v>CR-0118</x:v>
      </x:c>
      <x:c r="B122" t="str">
        <x:v>2023-10-10</x:v>
      </x:c>
      <x:c r="C122" t="str">
        <x:v>Professionnels</x:v>
      </x:c>
      <x:c r="D122" t="str">
        <x:v>Trésorerie</x:v>
      </x:c>
      <x:c r="E122" t="str">
        <x:v>Marrakech</x:v>
      </x:c>
      <x:c r="F122" s="14" t="n">
        <x:v>110128.54</x:v>
      </x:c>
      <x:c r="G122" t="n">
        <x:v>36</x:v>
      </x:c>
      <x:c r="H122" t="n">
        <x:v>7.16</x:v>
      </x:c>
      <x:c r="I122" t="n">
        <x:v>0</x:v>
      </x:c>
      <x:c r="J122" t="str">
        <x:v>À jour</x:v>
      </x:c>
      <x:c r="K122" s="16" t="n">
        <x:v>0.0199</x:v>
      </x:c>
      <x:c r="L122" s="16" t="n">
        <x:v>0.6</x:v>
      </x:c>
      <x:c r="M122" t="str">
        <x:v>A</x:v>
      </x:c>
      <x:c r="N122" s="14" t="n">
        <x:f>F122*K122*L122</x:f>
        <x:v>1314.9347676</x:v>
      </x:c>
      <x:c r="O122" s="14" t="n">
        <x:f>F122*K122</x:f>
        <x:v>2191.557946</x:v>
      </x:c>
    </x:row>
    <x:row r="123" ht="21" customHeight="1">
      <x:c r="A123" t="str">
        <x:v>CR-0119</x:v>
      </x:c>
      <x:c r="B123" t="str">
        <x:v>2024-11-10</x:v>
      </x:c>
      <x:c r="C123" t="str">
        <x:v>TPE</x:v>
      </x:c>
      <x:c r="D123" t="str">
        <x:v>Investissement</x:v>
      </x:c>
      <x:c r="E123" t="str">
        <x:v>Rabat</x:v>
      </x:c>
      <x:c r="F123" s="14" t="n">
        <x:v>105642.86</x:v>
      </x:c>
      <x:c r="G123" t="n">
        <x:v>84</x:v>
      </x:c>
      <x:c r="H123" t="n">
        <x:v>4.14</x:v>
      </x:c>
      <x:c r="I123" t="n">
        <x:v>0</x:v>
      </x:c>
      <x:c r="J123" t="str">
        <x:v>À jour</x:v>
      </x:c>
      <x:c r="K123" s="16" t="n">
        <x:v>0.0528</x:v>
      </x:c>
      <x:c r="L123" s="16" t="n">
        <x:v>0.45</x:v>
      </x:c>
      <x:c r="M123" t="str">
        <x:v>C</x:v>
      </x:c>
      <x:c r="N123" s="14" t="n">
        <x:f>F123*K123*L123</x:f>
        <x:v>2510.0743536</x:v>
      </x:c>
      <x:c r="O123" s="14" t="n">
        <x:f>F123*K123</x:f>
        <x:v>5577.943008</x:v>
      </x:c>
    </x:row>
    <x:row r="124" ht="21" customHeight="1">
      <x:c r="A124" t="str">
        <x:v>CR-0120</x:v>
      </x:c>
      <x:c r="B124" t="str">
        <x:v>2025-12-10</x:v>
      </x:c>
      <x:c r="C124" t="str">
        <x:v>Particuliers</x:v>
      </x:c>
      <x:c r="D124" t="str">
        <x:v>Trésorerie</x:v>
      </x:c>
      <x:c r="E124" t="str">
        <x:v>Fès</x:v>
      </x:c>
      <x:c r="F124" s="14" t="n">
        <x:v>102635.42</x:v>
      </x:c>
      <x:c r="G124" t="n">
        <x:v>36</x:v>
      </x:c>
      <x:c r="H124" t="n">
        <x:v>6.25</x:v>
      </x:c>
      <x:c r="I124" t="n">
        <x:v>0</x:v>
      </x:c>
      <x:c r="J124" t="str">
        <x:v>À jour</x:v>
      </x:c>
      <x:c r="K124" s="16" t="n">
        <x:v>0.0535</x:v>
      </x:c>
      <x:c r="L124" s="16" t="n">
        <x:v>0.6</x:v>
      </x:c>
      <x:c r="M124" t="str">
        <x:v>C</x:v>
      </x:c>
      <x:c r="N124" s="14" t="n">
        <x:f>F124*K124*L124</x:f>
        <x:v>3294.5969819999996</x:v>
      </x:c>
      <x:c r="O124" s="14" t="n">
        <x:f>F124*K124</x:f>
        <x:v>5490.99497</x:v>
      </x:c>
    </x:row>
    <x:row r="125" ht="21" customHeight="1">
      <x:c r="A125" t="str">
        <x:v>CR-0121</x:v>
      </x:c>
      <x:c r="B125" t="str">
        <x:v>2023-01-10</x:v>
      </x:c>
      <x:c r="C125" t="str">
        <x:v>Particuliers</x:v>
      </x:c>
      <x:c r="D125" t="str">
        <x:v>Investissement</x:v>
      </x:c>
      <x:c r="E125" t="str">
        <x:v>Marrakech</x:v>
      </x:c>
      <x:c r="F125" s="14" t="n">
        <x:v>82035.44</x:v>
      </x:c>
      <x:c r="G125" t="n">
        <x:v>120</x:v>
      </x:c>
      <x:c r="H125" t="n">
        <x:v>6.76</x:v>
      </x:c>
      <x:c r="I125" t="n">
        <x:v>95</x:v>
      </x:c>
      <x:c r="J125" t="str">
        <x:v>Impayé</x:v>
      </x:c>
      <x:c r="K125" s="16" t="n">
        <x:v>0.2108</x:v>
      </x:c>
      <x:c r="L125" s="16" t="n">
        <x:v>0.45</x:v>
      </x:c>
      <x:c r="M125" t="str">
        <x:v>D</x:v>
      </x:c>
      <x:c r="N125" s="14" t="n">
        <x:f>F125*K125*L125</x:f>
        <x:v>7781.8818384</x:v>
      </x:c>
      <x:c r="O125" s="14" t="n">
        <x:f>F125*K125</x:f>
        <x:v>17293.070752</x:v>
      </x:c>
    </x:row>
    <x:row r="126" ht="21" customHeight="1">
      <x:c r="A126" t="str">
        <x:v>CR-0122</x:v>
      </x:c>
      <x:c r="B126" t="str">
        <x:v>2024-02-10</x:v>
      </x:c>
      <x:c r="C126" t="str">
        <x:v>Particuliers</x:v>
      </x:c>
      <x:c r="D126" t="str">
        <x:v>Investissement</x:v>
      </x:c>
      <x:c r="E126" t="str">
        <x:v>Marrakech</x:v>
      </x:c>
      <x:c r="F126" s="14" t="n">
        <x:v>94483.93</x:v>
      </x:c>
      <x:c r="G126" t="n">
        <x:v>60</x:v>
      </x:c>
      <x:c r="H126" t="n">
        <x:v>3.62</x:v>
      </x:c>
      <x:c r="I126" t="n">
        <x:v>0</x:v>
      </x:c>
      <x:c r="J126" t="str">
        <x:v>À jour</x:v>
      </x:c>
      <x:c r="K126" s="16" t="n">
        <x:v>0.064</x:v>
      </x:c>
      <x:c r="L126" s="16" t="n">
        <x:v>0.45</x:v>
      </x:c>
      <x:c r="M126" t="str">
        <x:v>C</x:v>
      </x:c>
      <x:c r="N126" s="14" t="n">
        <x:f>F126*K126*L126</x:f>
        <x:v>2721.137184</x:v>
      </x:c>
      <x:c r="O126" s="14" t="n">
        <x:f>F126*K126</x:f>
        <x:v>6046.97152</x:v>
      </x:c>
    </x:row>
    <x:row r="127" ht="21" customHeight="1">
      <x:c r="A127" t="str">
        <x:v>CR-0123</x:v>
      </x:c>
      <x:c r="B127" t="str">
        <x:v>2025-03-10</x:v>
      </x:c>
      <x:c r="C127" t="str">
        <x:v>Particuliers</x:v>
      </x:c>
      <x:c r="D127" t="str">
        <x:v>Investissement</x:v>
      </x:c>
      <x:c r="E127" t="str">
        <x:v>Fès</x:v>
      </x:c>
      <x:c r="F127" s="14" t="n">
        <x:v>90994.73</x:v>
      </x:c>
      <x:c r="G127" t="n">
        <x:v>48</x:v>
      </x:c>
      <x:c r="H127" t="n">
        <x:v>7.92</x:v>
      </x:c>
      <x:c r="I127" t="n">
        <x:v>0</x:v>
      </x:c>
      <x:c r="J127" t="str">
        <x:v>À jour</x:v>
      </x:c>
      <x:c r="K127" s="16" t="n">
        <x:v>0.0547</x:v>
      </x:c>
      <x:c r="L127" s="16" t="n">
        <x:v>0.45</x:v>
      </x:c>
      <x:c r="M127" t="str">
        <x:v>C</x:v>
      </x:c>
      <x:c r="N127" s="14" t="n">
        <x:f>F127*K127*L127</x:f>
        <x:v>2239.8352789499995</x:v>
      </x:c>
      <x:c r="O127" s="14" t="n">
        <x:f>F127*K127</x:f>
        <x:v>4977.411730999999</x:v>
      </x:c>
    </x:row>
    <x:row r="128" ht="21" customHeight="1">
      <x:c r="A128" t="str">
        <x:v>CR-0124</x:v>
      </x:c>
      <x:c r="B128" t="str">
        <x:v>2023-04-10</x:v>
      </x:c>
      <x:c r="C128" t="str">
        <x:v>Particuliers</x:v>
      </x:c>
      <x:c r="D128" t="str">
        <x:v>Équipement</x:v>
      </x:c>
      <x:c r="E128" t="str">
        <x:v>Marrakech</x:v>
      </x:c>
      <x:c r="F128" s="14" t="n">
        <x:v>80092.52</x:v>
      </x:c>
      <x:c r="G128" t="n">
        <x:v>120</x:v>
      </x:c>
      <x:c r="H128" t="n">
        <x:v>8.54</x:v>
      </x:c>
      <x:c r="I128" t="n">
        <x:v>0</x:v>
      </x:c>
      <x:c r="J128" t="str">
        <x:v>À jour</x:v>
      </x:c>
      <x:c r="K128" s="16" t="n">
        <x:v>0.0635</x:v>
      </x:c>
      <x:c r="L128" s="16" t="n">
        <x:v>0.4</x:v>
      </x:c>
      <x:c r="M128" t="str">
        <x:v>C</x:v>
      </x:c>
      <x:c r="N128" s="14" t="n">
        <x:f>F128*K128*L128</x:f>
        <x:v>2034.3500080000003</x:v>
      </x:c>
      <x:c r="O128" s="14" t="n">
        <x:f>F128*K128</x:f>
        <x:v>5085.87502</x:v>
      </x:c>
    </x:row>
    <x:row r="129" ht="21" customHeight="1">
      <x:c r="A129" t="str">
        <x:v>CR-0125</x:v>
      </x:c>
      <x:c r="B129" t="str">
        <x:v>2024-05-10</x:v>
      </x:c>
      <x:c r="C129" t="str">
        <x:v>TPE</x:v>
      </x:c>
      <x:c r="D129" t="str">
        <x:v>Investissement</x:v>
      </x:c>
      <x:c r="E129" t="str">
        <x:v>Marrakech</x:v>
      </x:c>
      <x:c r="F129" s="14" t="n">
        <x:v>45601.59</x:v>
      </x:c>
      <x:c r="G129" t="n">
        <x:v>24</x:v>
      </x:c>
      <x:c r="H129" t="n">
        <x:v>9.33</x:v>
      </x:c>
      <x:c r="I129" t="n">
        <x:v>0</x:v>
      </x:c>
      <x:c r="J129" t="str">
        <x:v>À jour</x:v>
      </x:c>
      <x:c r="K129" s="16" t="n">
        <x:v>0.0387</x:v>
      </x:c>
      <x:c r="L129" s="16" t="n">
        <x:v>0.45</x:v>
      </x:c>
      <x:c r="M129" t="str">
        <x:v>B</x:v>
      </x:c>
      <x:c r="N129" s="14" t="n">
        <x:f>F129*K129*L129</x:f>
        <x:v>794.1516898499999</x:v>
      </x:c>
      <x:c r="O129" s="14" t="n">
        <x:f>F129*K129</x:f>
        <x:v>1764.7815329999999</x:v>
      </x:c>
    </x:row>
    <x:row r="130" ht="21" customHeight="1">
      <x:c r="A130" t="str">
        <x:v>CR-0126</x:v>
      </x:c>
      <x:c r="B130" t="str">
        <x:v>2025-06-10</x:v>
      </x:c>
      <x:c r="C130" t="str">
        <x:v>TPE</x:v>
      </x:c>
      <x:c r="D130" t="str">
        <x:v>Équipement</x:v>
      </x:c>
      <x:c r="E130" t="str">
        <x:v>Fès</x:v>
      </x:c>
      <x:c r="F130" s="14" t="n">
        <x:v>86547.57</x:v>
      </x:c>
      <x:c r="G130" t="n">
        <x:v>48</x:v>
      </x:c>
      <x:c r="H130" t="n">
        <x:v>7.75</x:v>
      </x:c>
      <x:c r="I130" t="n">
        <x:v>0</x:v>
      </x:c>
      <x:c r="J130" t="str">
        <x:v>À jour</x:v>
      </x:c>
      <x:c r="K130" s="16" t="n">
        <x:v>0.06</x:v>
      </x:c>
      <x:c r="L130" s="16" t="n">
        <x:v>0.4</x:v>
      </x:c>
      <x:c r="M130" t="str">
        <x:v>C</x:v>
      </x:c>
      <x:c r="N130" s="14" t="n">
        <x:f>F130*K130*L130</x:f>
        <x:v>2077.14168</x:v>
      </x:c>
      <x:c r="O130" s="14" t="n">
        <x:f>F130*K130</x:f>
        <x:v>5192.854200000001</x:v>
      </x:c>
    </x:row>
    <x:row r="131" ht="21" customHeight="1">
      <x:c r="A131" t="str">
        <x:v>CR-0127</x:v>
      </x:c>
      <x:c r="B131" t="str">
        <x:v>2023-07-10</x:v>
      </x:c>
      <x:c r="C131" t="str">
        <x:v>TPE</x:v>
      </x:c>
      <x:c r="D131" t="str">
        <x:v>Trésorerie</x:v>
      </x:c>
      <x:c r="E131" t="str">
        <x:v>Casablanca</x:v>
      </x:c>
      <x:c r="F131" s="14" t="n">
        <x:v>93212.92</x:v>
      </x:c>
      <x:c r="G131" t="n">
        <x:v>60</x:v>
      </x:c>
      <x:c r="H131" t="n">
        <x:v>9.95</x:v>
      </x:c>
      <x:c r="I131" t="n">
        <x:v>0</x:v>
      </x:c>
      <x:c r="J131" t="str">
        <x:v>À jour</x:v>
      </x:c>
      <x:c r="K131" s="16" t="n">
        <x:v>0.0106</x:v>
      </x:c>
      <x:c r="L131" s="16" t="n">
        <x:v>0.6</x:v>
      </x:c>
      <x:c r="M131" t="str">
        <x:v>A</x:v>
      </x:c>
      <x:c r="N131" s="14" t="n">
        <x:f>F131*K131*L131</x:f>
        <x:v>592.8341712</x:v>
      </x:c>
      <x:c r="O131" s="14" t="n">
        <x:f>F131*K131</x:f>
        <x:v>988.056952</x:v>
      </x:c>
    </x:row>
    <x:row r="132" ht="21" customHeight="1">
      <x:c r="A132" t="str">
        <x:v>CR-0128</x:v>
      </x:c>
      <x:c r="B132" t="str">
        <x:v>2024-08-10</x:v>
      </x:c>
      <x:c r="C132" t="str">
        <x:v>Professionnels</x:v>
      </x:c>
      <x:c r="D132" t="str">
        <x:v>Investissement</x:v>
      </x:c>
      <x:c r="E132" t="str">
        <x:v>Fès</x:v>
      </x:c>
      <x:c r="F132" s="14" t="n">
        <x:v>78987.79</x:v>
      </x:c>
      <x:c r="G132" t="n">
        <x:v>60</x:v>
      </x:c>
      <x:c r="H132" t="n">
        <x:v>7.78</x:v>
      </x:c>
      <x:c r="I132" t="n">
        <x:v>0</x:v>
      </x:c>
      <x:c r="J132" t="str">
        <x:v>À jour</x:v>
      </x:c>
      <x:c r="K132" s="16" t="n">
        <x:v>0.0458</x:v>
      </x:c>
      <x:c r="L132" s="16" t="n">
        <x:v>0.45</x:v>
      </x:c>
      <x:c r="M132" t="str">
        <x:v>B</x:v>
      </x:c>
      <x:c r="N132" s="14" t="n">
        <x:f>F132*K132*L132</x:f>
        <x:v>1627.9383519</x:v>
      </x:c>
      <x:c r="O132" s="14" t="n">
        <x:f>F132*K132</x:f>
        <x:v>3617.640782</x:v>
      </x:c>
    </x:row>
    <x:row r="133" ht="21" customHeight="1">
      <x:c r="A133" t="str">
        <x:v>CR-0129</x:v>
      </x:c>
      <x:c r="B133" t="str">
        <x:v>2025-09-10</x:v>
      </x:c>
      <x:c r="C133" t="str">
        <x:v>Particuliers</x:v>
      </x:c>
      <x:c r="D133" t="str">
        <x:v>Trésorerie</x:v>
      </x:c>
      <x:c r="E133" t="str">
        <x:v>Marrakech</x:v>
      </x:c>
      <x:c r="F133" s="14" t="n">
        <x:v>90294.71</x:v>
      </x:c>
      <x:c r="G133" t="n">
        <x:v>120</x:v>
      </x:c>
      <x:c r="H133" t="n">
        <x:v>4.09</x:v>
      </x:c>
      <x:c r="I133" t="n">
        <x:v>0</x:v>
      </x:c>
      <x:c r="J133" t="str">
        <x:v>À jour</x:v>
      </x:c>
      <x:c r="K133" s="16" t="n">
        <x:v>0.0179</x:v>
      </x:c>
      <x:c r="L133" s="16" t="n">
        <x:v>0.6</x:v>
      </x:c>
      <x:c r="M133" t="str">
        <x:v>A</x:v>
      </x:c>
      <x:c r="N133" s="14" t="n">
        <x:f>F133*K133*L133</x:f>
        <x:v>969.7651854000001</x:v>
      </x:c>
      <x:c r="O133" s="14" t="n">
        <x:f>F133*K133</x:f>
        <x:v>1616.275309</x:v>
      </x:c>
    </x:row>
    <x:row r="134" ht="21" customHeight="1">
      <x:c r="A134" t="str">
        <x:v>CR-0130</x:v>
      </x:c>
      <x:c r="B134" t="str">
        <x:v>2023-10-10</x:v>
      </x:c>
      <x:c r="C134" t="str">
        <x:v>PME</x:v>
      </x:c>
      <x:c r="D134" t="str">
        <x:v>Habitat</x:v>
      </x:c>
      <x:c r="E134" t="str">
        <x:v>Casablanca</x:v>
      </x:c>
      <x:c r="F134" s="14" t="n">
        <x:v>71155</x:v>
      </x:c>
      <x:c r="G134" t="n">
        <x:v>24</x:v>
      </x:c>
      <x:c r="H134" t="n">
        <x:v>6.09</x:v>
      </x:c>
      <x:c r="I134" t="n">
        <x:v>0</x:v>
      </x:c>
      <x:c r="J134" t="str">
        <x:v>À jour</x:v>
      </x:c>
      <x:c r="K134" s="16" t="n">
        <x:v>0.0458</x:v>
      </x:c>
      <x:c r="L134" s="16" t="n">
        <x:v>0.2</x:v>
      </x:c>
      <x:c r="M134" t="str">
        <x:v>B</x:v>
      </x:c>
      <x:c r="N134" s="14" t="n">
        <x:f>F134*K134*L134</x:f>
        <x:v>651.7798</x:v>
      </x:c>
      <x:c r="O134" s="14" t="n">
        <x:f>F134*K134</x:f>
        <x:v>3258.899</x:v>
      </x:c>
    </x:row>
    <x:row r="135" ht="21" customHeight="1">
      <x:c r="A135" t="str">
        <x:v>CR-0131</x:v>
      </x:c>
      <x:c r="B135" t="str">
        <x:v>2024-11-10</x:v>
      </x:c>
      <x:c r="C135" t="str">
        <x:v>Particuliers</x:v>
      </x:c>
      <x:c r="D135" t="str">
        <x:v>Habitat</x:v>
      </x:c>
      <x:c r="E135" t="str">
        <x:v>Marrakech</x:v>
      </x:c>
      <x:c r="F135" s="14" t="n">
        <x:v>42362.78</x:v>
      </x:c>
      <x:c r="G135" t="n">
        <x:v>36</x:v>
      </x:c>
      <x:c r="H135" t="n">
        <x:v>4.21</x:v>
      </x:c>
      <x:c r="I135" t="n">
        <x:v>0</x:v>
      </x:c>
      <x:c r="J135" t="str">
        <x:v>À jour</x:v>
      </x:c>
      <x:c r="K135" s="16" t="n">
        <x:v>0.021</x:v>
      </x:c>
      <x:c r="L135" s="16" t="n">
        <x:v>0.2</x:v>
      </x:c>
      <x:c r="M135" t="str">
        <x:v>B</x:v>
      </x:c>
      <x:c r="N135" s="14" t="n">
        <x:f>F135*K135*L135</x:f>
        <x:v>177.923676</x:v>
      </x:c>
      <x:c r="O135" s="14" t="n">
        <x:f>F135*K135</x:f>
        <x:v>889.61838</x:v>
      </x:c>
    </x:row>
    <x:row r="136" ht="21" customHeight="1">
      <x:c r="A136" t="str">
        <x:v>CR-0132</x:v>
      </x:c>
      <x:c r="B136" t="str">
        <x:v>2025-12-10</x:v>
      </x:c>
      <x:c r="C136" t="str">
        <x:v>Professionnels</x:v>
      </x:c>
      <x:c r="D136" t="str">
        <x:v>Équipement</x:v>
      </x:c>
      <x:c r="E136" t="str">
        <x:v>Rabat</x:v>
      </x:c>
      <x:c r="F136" s="14" t="n">
        <x:v>110431.93</x:v>
      </x:c>
      <x:c r="G136" t="n">
        <x:v>84</x:v>
      </x:c>
      <x:c r="H136" t="n">
        <x:v>7.83</x:v>
      </x:c>
      <x:c r="I136" t="n">
        <x:v>0</x:v>
      </x:c>
      <x:c r="J136" t="str">
        <x:v>À jour</x:v>
      </x:c>
      <x:c r="K136" s="16" t="n">
        <x:v>0.0217</x:v>
      </x:c>
      <x:c r="L136" s="16" t="n">
        <x:v>0.4</x:v>
      </x:c>
      <x:c r="M136" t="str">
        <x:v>B</x:v>
      </x:c>
      <x:c r="N136" s="14" t="n">
        <x:f>F136*K136*L136</x:f>
        <x:v>958.5491523999999</x:v>
      </x:c>
      <x:c r="O136" s="14" t="n">
        <x:f>F136*K136</x:f>
        <x:v>2396.372881</x:v>
      </x:c>
    </x:row>
    <x:row r="137" ht="21" customHeight="1">
      <x:c r="A137" t="str">
        <x:v>CR-0133</x:v>
      </x:c>
      <x:c r="B137" t="str">
        <x:v>2023-01-10</x:v>
      </x:c>
      <x:c r="C137" t="str">
        <x:v>TPE</x:v>
      </x:c>
      <x:c r="D137" t="str">
        <x:v>Habitat</x:v>
      </x:c>
      <x:c r="E137" t="str">
        <x:v>Casablanca</x:v>
      </x:c>
      <x:c r="F137" s="14" t="n">
        <x:v>40189.45</x:v>
      </x:c>
      <x:c r="G137" t="n">
        <x:v>24</x:v>
      </x:c>
      <x:c r="H137" t="n">
        <x:v>5.16</x:v>
      </x:c>
      <x:c r="I137" t="n">
        <x:v>0</x:v>
      </x:c>
      <x:c r="J137" t="str">
        <x:v>À jour</x:v>
      </x:c>
      <x:c r="K137" s="16" t="n">
        <x:v>0.0648</x:v>
      </x:c>
      <x:c r="L137" s="16" t="n">
        <x:v>0.2</x:v>
      </x:c>
      <x:c r="M137" t="str">
        <x:v>C</x:v>
      </x:c>
      <x:c r="N137" s="14" t="n">
        <x:f>F137*K137*L137</x:f>
        <x:v>520.855272</x:v>
      </x:c>
      <x:c r="O137" s="14" t="n">
        <x:f>F137*K137</x:f>
        <x:v>2604.27636</x:v>
      </x:c>
    </x:row>
    <x:row r="138" ht="21" customHeight="1">
      <x:c r="A138" t="str">
        <x:v>CR-0134</x:v>
      </x:c>
      <x:c r="B138" t="str">
        <x:v>2024-02-10</x:v>
      </x:c>
      <x:c r="C138" t="str">
        <x:v>Professionnels</x:v>
      </x:c>
      <x:c r="D138" t="str">
        <x:v>Trésorerie</x:v>
      </x:c>
      <x:c r="E138" t="str">
        <x:v>Fès</x:v>
      </x:c>
      <x:c r="F138" s="14" t="n">
        <x:v>99957.55</x:v>
      </x:c>
      <x:c r="G138" t="n">
        <x:v>24</x:v>
      </x:c>
      <x:c r="H138" t="n">
        <x:v>7.05</x:v>
      </x:c>
      <x:c r="I138" t="n">
        <x:v>0</x:v>
      </x:c>
      <x:c r="J138" t="str">
        <x:v>À jour</x:v>
      </x:c>
      <x:c r="K138" s="16" t="n">
        <x:v>0.0264</x:v>
      </x:c>
      <x:c r="L138" s="16" t="n">
        <x:v>0.6</x:v>
      </x:c>
      <x:c r="M138" t="str">
        <x:v>B</x:v>
      </x:c>
      <x:c r="N138" s="14" t="n">
        <x:f>F138*K138*L138</x:f>
        <x:v>1583.3275919999999</x:v>
      </x:c>
      <x:c r="O138" s="14" t="n">
        <x:f>F138*K138</x:f>
        <x:v>2638.87932</x:v>
      </x:c>
    </x:row>
    <x:row r="139" ht="21" customHeight="1">
      <x:c r="A139" t="str">
        <x:v>CR-0135</x:v>
      </x:c>
      <x:c r="B139" t="str">
        <x:v>2025-03-10</x:v>
      </x:c>
      <x:c r="C139" t="str">
        <x:v>Particuliers</x:v>
      </x:c>
      <x:c r="D139" t="str">
        <x:v>Habitat</x:v>
      </x:c>
      <x:c r="E139" t="str">
        <x:v>Tanger</x:v>
      </x:c>
      <x:c r="F139" s="14" t="n">
        <x:v>104790.84</x:v>
      </x:c>
      <x:c r="G139" t="n">
        <x:v>48</x:v>
      </x:c>
      <x:c r="H139" t="n">
        <x:v>9.47</x:v>
      </x:c>
      <x:c r="I139" t="n">
        <x:v>95</x:v>
      </x:c>
      <x:c r="J139" t="str">
        <x:v>Impayé</x:v>
      </x:c>
      <x:c r="K139" s="16" t="n">
        <x:v>0.2286</x:v>
      </x:c>
      <x:c r="L139" s="16" t="n">
        <x:v>0.2</x:v>
      </x:c>
      <x:c r="M139" t="str">
        <x:v>D</x:v>
      </x:c>
      <x:c r="N139" s="14" t="n">
        <x:f>F139*K139*L139</x:f>
        <x:v>4791.0372048</x:v>
      </x:c>
      <x:c r="O139" s="14" t="n">
        <x:f>F139*K139</x:f>
        <x:v>23955.186024</x:v>
      </x:c>
    </x:row>
    <x:row r="140" ht="21" customHeight="1">
      <x:c r="A140" t="str">
        <x:v>CR-0136</x:v>
      </x:c>
      <x:c r="B140" t="str">
        <x:v>2023-04-10</x:v>
      </x:c>
      <x:c r="C140" t="str">
        <x:v>PME</x:v>
      </x:c>
      <x:c r="D140" t="str">
        <x:v>Habitat</x:v>
      </x:c>
      <x:c r="E140" t="str">
        <x:v>Fès</x:v>
      </x:c>
      <x:c r="F140" s="14" t="n">
        <x:v>93488.59</x:v>
      </x:c>
      <x:c r="G140" t="n">
        <x:v>120</x:v>
      </x:c>
      <x:c r="H140" t="n">
        <x:v>9.27</x:v>
      </x:c>
      <x:c r="I140" t="n">
        <x:v>95</x:v>
      </x:c>
      <x:c r="J140" t="str">
        <x:v>Impayé</x:v>
      </x:c>
      <x:c r="K140" s="16" t="n">
        <x:v>0.217</x:v>
      </x:c>
      <x:c r="L140" s="16" t="n">
        <x:v>0.2</x:v>
      </x:c>
      <x:c r="M140" t="str">
        <x:v>D</x:v>
      </x:c>
      <x:c r="N140" s="14" t="n">
        <x:f>F140*K140*L140</x:f>
        <x:v>4057.4048060000005</x:v>
      </x:c>
      <x:c r="O140" s="14" t="n">
        <x:f>F140*K140</x:f>
        <x:v>20287.02403</x:v>
      </x:c>
    </x:row>
    <x:row r="141" ht="21" customHeight="1">
      <x:c r="A141" t="str">
        <x:v>CR-0137</x:v>
      </x:c>
      <x:c r="B141" t="str">
        <x:v>2024-05-10</x:v>
      </x:c>
      <x:c r="C141" t="str">
        <x:v>PME</x:v>
      </x:c>
      <x:c r="D141" t="str">
        <x:v>Équipement</x:v>
      </x:c>
      <x:c r="E141" t="str">
        <x:v>Rabat</x:v>
      </x:c>
      <x:c r="F141" s="14" t="n">
        <x:v>89304.58</x:v>
      </x:c>
      <x:c r="G141" t="n">
        <x:v>84</x:v>
      </x:c>
      <x:c r="H141" t="n">
        <x:v>5.52</x:v>
      </x:c>
      <x:c r="I141" t="n">
        <x:v>0</x:v>
      </x:c>
      <x:c r="J141" t="str">
        <x:v>À jour</x:v>
      </x:c>
      <x:c r="K141" s="16" t="n">
        <x:v>0.0354</x:v>
      </x:c>
      <x:c r="L141" s="16" t="n">
        <x:v>0.4</x:v>
      </x:c>
      <x:c r="M141" t="str">
        <x:v>B</x:v>
      </x:c>
      <x:c r="N141" s="14" t="n">
        <x:f>F141*K141*L141</x:f>
        <x:v>1264.5528528000002</x:v>
      </x:c>
      <x:c r="O141" s="14" t="n">
        <x:f>F141*K141</x:f>
        <x:v>3161.382132</x:v>
      </x:c>
    </x:row>
    <x:row r="142" ht="21" customHeight="1">
      <x:c r="A142" t="str">
        <x:v>CR-0138</x:v>
      </x:c>
      <x:c r="B142" t="str">
        <x:v>2025-06-10</x:v>
      </x:c>
      <x:c r="C142" t="str">
        <x:v>Particuliers</x:v>
      </x:c>
      <x:c r="D142" t="str">
        <x:v>Consommation</x:v>
      </x:c>
      <x:c r="E142" t="str">
        <x:v>Rabat</x:v>
      </x:c>
      <x:c r="F142" s="14" t="n">
        <x:v>95919.74</x:v>
      </x:c>
      <x:c r="G142" t="n">
        <x:v>24</x:v>
      </x:c>
      <x:c r="H142" t="n">
        <x:v>10.25</x:v>
      </x:c>
      <x:c r="I142" t="n">
        <x:v>0</x:v>
      </x:c>
      <x:c r="J142" t="str">
        <x:v>À jour</x:v>
      </x:c>
      <x:c r="K142" s="16" t="n">
        <x:v>0.0164</x:v>
      </x:c>
      <x:c r="L142" s="16" t="n">
        <x:v>0.7</x:v>
      </x:c>
      <x:c r="M142" t="str">
        <x:v>A</x:v>
      </x:c>
      <x:c r="N142" s="14" t="n">
        <x:f>F142*K142*L142</x:f>
        <x:v>1101.1586152000002</x:v>
      </x:c>
      <x:c r="O142" s="14" t="n">
        <x:f>F142*K142</x:f>
        <x:v>1573.0837360000003</x:v>
      </x:c>
    </x:row>
    <x:row r="143" ht="21" customHeight="1">
      <x:c r="A143" t="str">
        <x:v>CR-0139</x:v>
      </x:c>
      <x:c r="B143" t="str">
        <x:v>2023-07-10</x:v>
      </x:c>
      <x:c r="C143" t="str">
        <x:v>Particuliers</x:v>
      </x:c>
      <x:c r="D143" t="str">
        <x:v>Consommation</x:v>
      </x:c>
      <x:c r="E143" t="str">
        <x:v>Rabat</x:v>
      </x:c>
      <x:c r="F143" s="14" t="n">
        <x:v>76318.74</x:v>
      </x:c>
      <x:c r="G143" t="n">
        <x:v>48</x:v>
      </x:c>
      <x:c r="H143" t="n">
        <x:v>9.14</x:v>
      </x:c>
      <x:c r="I143" t="n">
        <x:v>0</x:v>
      </x:c>
      <x:c r="J143" t="str">
        <x:v>À jour</x:v>
      </x:c>
      <x:c r="K143" s="16" t="n">
        <x:v>0.0414</x:v>
      </x:c>
      <x:c r="L143" s="16" t="n">
        <x:v>0.7</x:v>
      </x:c>
      <x:c r="M143" t="str">
        <x:v>B</x:v>
      </x:c>
      <x:c r="N143" s="14" t="n">
        <x:f>F143*K143*L143</x:f>
        <x:v>2211.7170852</x:v>
      </x:c>
      <x:c r="O143" s="14" t="n">
        <x:f>F143*K143</x:f>
        <x:v>3159.595836</x:v>
      </x:c>
    </x:row>
    <x:row r="144" ht="21" customHeight="1">
      <x:c r="A144" t="str">
        <x:v>CR-0140</x:v>
      </x:c>
      <x:c r="B144" t="str">
        <x:v>2024-08-10</x:v>
      </x:c>
      <x:c r="C144" t="str">
        <x:v>TPE</x:v>
      </x:c>
      <x:c r="D144" t="str">
        <x:v>Trésorerie</x:v>
      </x:c>
      <x:c r="E144" t="str">
        <x:v>Tanger</x:v>
      </x:c>
      <x:c r="F144" s="14" t="n">
        <x:v>64847.13</x:v>
      </x:c>
      <x:c r="G144" t="n">
        <x:v>36</x:v>
      </x:c>
      <x:c r="H144" t="n">
        <x:v>6.98</x:v>
      </x:c>
      <x:c r="I144" t="n">
        <x:v>0</x:v>
      </x:c>
      <x:c r="J144" t="str">
        <x:v>À jour</x:v>
      </x:c>
      <x:c r="K144" s="16" t="n">
        <x:v>0.0256</x:v>
      </x:c>
      <x:c r="L144" s="16" t="n">
        <x:v>0.6</x:v>
      </x:c>
      <x:c r="M144" t="str">
        <x:v>B</x:v>
      </x:c>
      <x:c r="N144" s="14" t="n">
        <x:f>F144*K144*L144</x:f>
        <x:v>996.0519168</x:v>
      </x:c>
      <x:c r="O144" s="14" t="n">
        <x:f>F144*K144</x:f>
        <x:v>1660.086528</x:v>
      </x:c>
    </x:row>
    <x:row r="145" ht="21" customHeight="1">
      <x:c r="A145" t="str">
        <x:v>CR-0141</x:v>
      </x:c>
      <x:c r="B145" t="str">
        <x:v>2025-09-10</x:v>
      </x:c>
      <x:c r="C145" t="str">
        <x:v>PME</x:v>
      </x:c>
      <x:c r="D145" t="str">
        <x:v>Trésorerie</x:v>
      </x:c>
      <x:c r="E145" t="str">
        <x:v>Casablanca</x:v>
      </x:c>
      <x:c r="F145" s="14" t="n">
        <x:v>96189.96</x:v>
      </x:c>
      <x:c r="G145" t="n">
        <x:v>36</x:v>
      </x:c>
      <x:c r="H145" t="n">
        <x:v>5.49</x:v>
      </x:c>
      <x:c r="I145" t="n">
        <x:v>0</x:v>
      </x:c>
      <x:c r="J145" t="str">
        <x:v>À jour</x:v>
      </x:c>
      <x:c r="K145" s="16" t="n">
        <x:v>0.0415</x:v>
      </x:c>
      <x:c r="L145" s="16" t="n">
        <x:v>0.6</x:v>
      </x:c>
      <x:c r="M145" t="str">
        <x:v>B</x:v>
      </x:c>
      <x:c r="N145" s="14" t="n">
        <x:f>F145*K145*L145</x:f>
        <x:v>2395.130004</x:v>
      </x:c>
      <x:c r="O145" s="14" t="n">
        <x:f>F145*K145</x:f>
        <x:v>3991.8833400000003</x:v>
      </x:c>
    </x:row>
    <x:row r="146" ht="21" customHeight="1">
      <x:c r="A146" t="str">
        <x:v>CR-0142</x:v>
      </x:c>
      <x:c r="B146" t="str">
        <x:v>2023-10-10</x:v>
      </x:c>
      <x:c r="C146" t="str">
        <x:v>TPE</x:v>
      </x:c>
      <x:c r="D146" t="str">
        <x:v>Trésorerie</x:v>
      </x:c>
      <x:c r="E146" t="str">
        <x:v>Tanger</x:v>
      </x:c>
      <x:c r="F146" s="14" t="n">
        <x:v>71343.6</x:v>
      </x:c>
      <x:c r="G146" t="n">
        <x:v>120</x:v>
      </x:c>
      <x:c r="H146" t="n">
        <x:v>6.64</x:v>
      </x:c>
      <x:c r="I146" t="n">
        <x:v>0</x:v>
      </x:c>
      <x:c r="J146" t="str">
        <x:v>À jour</x:v>
      </x:c>
      <x:c r="K146" s="16" t="n">
        <x:v>0.0201</x:v>
      </x:c>
      <x:c r="L146" s="16" t="n">
        <x:v>0.6</x:v>
      </x:c>
      <x:c r="M146" t="str">
        <x:v>B</x:v>
      </x:c>
      <x:c r="N146" s="14" t="n">
        <x:f>F146*K146*L146</x:f>
        <x:v>860.403816</x:v>
      </x:c>
      <x:c r="O146" s="14" t="n">
        <x:f>F146*K146</x:f>
        <x:v>1434.00636</x:v>
      </x:c>
    </x:row>
    <x:row r="147" ht="21" customHeight="1">
      <x:c r="A147" t="str">
        <x:v>CR-0143</x:v>
      </x:c>
      <x:c r="B147" t="str">
        <x:v>2024-11-10</x:v>
      </x:c>
      <x:c r="C147" t="str">
        <x:v>Professionnels</x:v>
      </x:c>
      <x:c r="D147" t="str">
        <x:v>Consommation</x:v>
      </x:c>
      <x:c r="E147" t="str">
        <x:v>Rabat</x:v>
      </x:c>
      <x:c r="F147" s="14" t="n">
        <x:v>106950.07</x:v>
      </x:c>
      <x:c r="G147" t="n">
        <x:v>48</x:v>
      </x:c>
      <x:c r="H147" t="n">
        <x:v>9.51</x:v>
      </x:c>
      <x:c r="I147" t="n">
        <x:v>0</x:v>
      </x:c>
      <x:c r="J147" t="str">
        <x:v>À jour</x:v>
      </x:c>
      <x:c r="K147" s="16" t="n">
        <x:v>0.013</x:v>
      </x:c>
      <x:c r="L147" s="16" t="n">
        <x:v>0.7</x:v>
      </x:c>
      <x:c r="M147" t="str">
        <x:v>A</x:v>
      </x:c>
      <x:c r="N147" s="14" t="n">
        <x:f>F147*K147*L147</x:f>
        <x:v>973.245637</x:v>
      </x:c>
      <x:c r="O147" s="14" t="n">
        <x:f>F147*K147</x:f>
        <x:v>1390.35091</x:v>
      </x:c>
    </x:row>
    <x:row r="148" ht="21" customHeight="1">
      <x:c r="A148" t="str">
        <x:v>CR-0144</x:v>
      </x:c>
      <x:c r="B148" t="str">
        <x:v>2025-12-10</x:v>
      </x:c>
      <x:c r="C148" t="str">
        <x:v>Particuliers</x:v>
      </x:c>
      <x:c r="D148" t="str">
        <x:v>Trésorerie</x:v>
      </x:c>
      <x:c r="E148" t="str">
        <x:v>Fès</x:v>
      </x:c>
      <x:c r="F148" s="14" t="n">
        <x:v>82335.87</x:v>
      </x:c>
      <x:c r="G148" t="n">
        <x:v>120</x:v>
      </x:c>
      <x:c r="H148" t="n">
        <x:v>5.22</x:v>
      </x:c>
      <x:c r="I148" t="n">
        <x:v>0</x:v>
      </x:c>
      <x:c r="J148" t="str">
        <x:v>À jour</x:v>
      </x:c>
      <x:c r="K148" s="16" t="n">
        <x:v>0.0228</x:v>
      </x:c>
      <x:c r="L148" s="16" t="n">
        <x:v>0.6</x:v>
      </x:c>
      <x:c r="M148" t="str">
        <x:v>B</x:v>
      </x:c>
      <x:c r="N148" s="14" t="n">
        <x:f>F148*K148*L148</x:f>
        <x:v>1126.3547016</x:v>
      </x:c>
      <x:c r="O148" s="14" t="n">
        <x:f>F148*K148</x:f>
        <x:v>1877.257836</x:v>
      </x:c>
    </x:row>
    <x:row r="149" ht="21" customHeight="1">
      <x:c r="A149" t="str">
        <x:v>CR-0145</x:v>
      </x:c>
      <x:c r="B149" t="str">
        <x:v>2023-01-10</x:v>
      </x:c>
      <x:c r="C149" t="str">
        <x:v>TPE</x:v>
      </x:c>
      <x:c r="D149" t="str">
        <x:v>Investissement</x:v>
      </x:c>
      <x:c r="E149" t="str">
        <x:v>Fès</x:v>
      </x:c>
      <x:c r="F149" s="14" t="n">
        <x:v>57741.66</x:v>
      </x:c>
      <x:c r="G149" t="n">
        <x:v>36</x:v>
      </x:c>
      <x:c r="H149" t="n">
        <x:v>4.29</x:v>
      </x:c>
      <x:c r="I149" t="n">
        <x:v>0</x:v>
      </x:c>
      <x:c r="J149" t="str">
        <x:v>À jour</x:v>
      </x:c>
      <x:c r="K149" s="16" t="n">
        <x:v>0.0072</x:v>
      </x:c>
      <x:c r="L149" s="16" t="n">
        <x:v>0.45</x:v>
      </x:c>
      <x:c r="M149" t="str">
        <x:v>A</x:v>
      </x:c>
      <x:c r="N149" s="14" t="n">
        <x:f>F149*K149*L149</x:f>
        <x:v>187.0829784</x:v>
      </x:c>
      <x:c r="O149" s="14" t="n">
        <x:f>F149*K149</x:f>
        <x:v>415.739952</x:v>
      </x:c>
    </x:row>
    <x:row r="150" ht="21" customHeight="1">
      <x:c r="A150" t="str">
        <x:v>CR-0146</x:v>
      </x:c>
      <x:c r="B150" t="str">
        <x:v>2024-02-10</x:v>
      </x:c>
      <x:c r="C150" t="str">
        <x:v>Particuliers</x:v>
      </x:c>
      <x:c r="D150" t="str">
        <x:v>Habitat</x:v>
      </x:c>
      <x:c r="E150" t="str">
        <x:v>Fès</x:v>
      </x:c>
      <x:c r="F150" s="14" t="n">
        <x:v>87361.07</x:v>
      </x:c>
      <x:c r="G150" t="n">
        <x:v>120</x:v>
      </x:c>
      <x:c r="H150" t="n">
        <x:v>4.91</x:v>
      </x:c>
      <x:c r="I150" t="n">
        <x:v>0</x:v>
      </x:c>
      <x:c r="J150" t="str">
        <x:v>À jour</x:v>
      </x:c>
      <x:c r="K150" s="16" t="n">
        <x:v>0.0481</x:v>
      </x:c>
      <x:c r="L150" s="16" t="n">
        <x:v>0.2</x:v>
      </x:c>
      <x:c r="M150" t="str">
        <x:v>B</x:v>
      </x:c>
      <x:c r="N150" s="14" t="n">
        <x:f>F150*K150*L150</x:f>
        <x:v>840.4134934</x:v>
      </x:c>
      <x:c r="O150" s="14" t="n">
        <x:f>F150*K150</x:f>
        <x:v>4202.067467</x:v>
      </x:c>
    </x:row>
    <x:row r="151" ht="21" customHeight="1">
      <x:c r="A151" t="str">
        <x:v>CR-0147</x:v>
      </x:c>
      <x:c r="B151" t="str">
        <x:v>2025-03-10</x:v>
      </x:c>
      <x:c r="C151" t="str">
        <x:v>TPE</x:v>
      </x:c>
      <x:c r="D151" t="str">
        <x:v>Équipement</x:v>
      </x:c>
      <x:c r="E151" t="str">
        <x:v>Fès</x:v>
      </x:c>
      <x:c r="F151" s="14" t="n">
        <x:v>104675.1</x:v>
      </x:c>
      <x:c r="G151" t="n">
        <x:v>24</x:v>
      </x:c>
      <x:c r="H151" t="n">
        <x:v>9.29</x:v>
      </x:c>
      <x:c r="I151" t="n">
        <x:v>0</x:v>
      </x:c>
      <x:c r="J151" t="str">
        <x:v>À jour</x:v>
      </x:c>
      <x:c r="K151" s="16" t="n">
        <x:v>0.045</x:v>
      </x:c>
      <x:c r="L151" s="16" t="n">
        <x:v>0.4</x:v>
      </x:c>
      <x:c r="M151" t="str">
        <x:v>B</x:v>
      </x:c>
      <x:c r="N151" s="14" t="n">
        <x:f>F151*K151*L151</x:f>
        <x:v>1884.1518</x:v>
      </x:c>
      <x:c r="O151" s="14" t="n">
        <x:f>F151*K151</x:f>
        <x:v>4710.3795</x:v>
      </x:c>
    </x:row>
    <x:row r="152" ht="21" customHeight="1">
      <x:c r="A152" t="str">
        <x:v>CR-0148</x:v>
      </x:c>
      <x:c r="B152" t="str">
        <x:v>2023-04-10</x:v>
      </x:c>
      <x:c r="C152" t="str">
        <x:v>TPE</x:v>
      </x:c>
      <x:c r="D152" t="str">
        <x:v>Consommation</x:v>
      </x:c>
      <x:c r="E152" t="str">
        <x:v>Rabat</x:v>
      </x:c>
      <x:c r="F152" s="14" t="n">
        <x:v>53054.34</x:v>
      </x:c>
      <x:c r="G152" t="n">
        <x:v>24</x:v>
      </x:c>
      <x:c r="H152" t="n">
        <x:v>5.18</x:v>
      </x:c>
      <x:c r="I152" t="n">
        <x:v>0</x:v>
      </x:c>
      <x:c r="J152" t="str">
        <x:v>À jour</x:v>
      </x:c>
      <x:c r="K152" s="16" t="n">
        <x:v>0.0199</x:v>
      </x:c>
      <x:c r="L152" s="16" t="n">
        <x:v>0.7</x:v>
      </x:c>
      <x:c r="M152" t="str">
        <x:v>A</x:v>
      </x:c>
      <x:c r="N152" s="14" t="n">
        <x:f>F152*K152*L152</x:f>
        <x:v>739.0469562</x:v>
      </x:c>
      <x:c r="O152" s="14" t="n">
        <x:f>F152*K152</x:f>
        <x:v>1055.781366</x:v>
      </x:c>
    </x:row>
    <x:row r="153" ht="21" customHeight="1">
      <x:c r="A153" t="str">
        <x:v>CR-0149</x:v>
      </x:c>
      <x:c r="B153" t="str">
        <x:v>2024-05-10</x:v>
      </x:c>
      <x:c r="C153" t="str">
        <x:v>TPE</x:v>
      </x:c>
      <x:c r="D153" t="str">
        <x:v>Investissement</x:v>
      </x:c>
      <x:c r="E153" t="str">
        <x:v>Rabat</x:v>
      </x:c>
      <x:c r="F153" s="14" t="n">
        <x:v>56524.85</x:v>
      </x:c>
      <x:c r="G153" t="n">
        <x:v>48</x:v>
      </x:c>
      <x:c r="H153" t="n">
        <x:v>7.53</x:v>
      </x:c>
      <x:c r="I153" t="n">
        <x:v>0</x:v>
      </x:c>
      <x:c r="J153" t="str">
        <x:v>À jour</x:v>
      </x:c>
      <x:c r="K153" s="16" t="n">
        <x:v>0.0509</x:v>
      </x:c>
      <x:c r="L153" s="16" t="n">
        <x:v>0.45</x:v>
      </x:c>
      <x:c r="M153" t="str">
        <x:v>C</x:v>
      </x:c>
      <x:c r="N153" s="14" t="n">
        <x:f>F153*K153*L153</x:f>
        <x:v>1294.70168925</x:v>
      </x:c>
      <x:c r="O153" s="14" t="n">
        <x:f>F153*K153</x:f>
        <x:v>2877.114865</x:v>
      </x:c>
    </x:row>
    <x:row r="154" ht="21" customHeight="1">
      <x:c r="A154" t="str">
        <x:v>CR-0150</x:v>
      </x:c>
      <x:c r="B154" t="str">
        <x:v>2025-06-10</x:v>
      </x:c>
      <x:c r="C154" t="str">
        <x:v>TPE</x:v>
      </x:c>
      <x:c r="D154" t="str">
        <x:v>Habitat</x:v>
      </x:c>
      <x:c r="E154" t="str">
        <x:v>Casablanca</x:v>
      </x:c>
      <x:c r="F154" s="14" t="n">
        <x:v>64708.28</x:v>
      </x:c>
      <x:c r="G154" t="n">
        <x:v>120</x:v>
      </x:c>
      <x:c r="H154" t="n">
        <x:v>5.3</x:v>
      </x:c>
      <x:c r="I154" t="n">
        <x:v>0</x:v>
      </x:c>
      <x:c r="J154" t="str">
        <x:v>À jour</x:v>
      </x:c>
      <x:c r="K154" s="16" t="n">
        <x:v>0.0189</x:v>
      </x:c>
      <x:c r="L154" s="16" t="n">
        <x:v>0.2</x:v>
      </x:c>
      <x:c r="M154" t="str">
        <x:v>A</x:v>
      </x:c>
      <x:c r="N154" s="14" t="n">
        <x:f>F154*K154*L154</x:f>
        <x:v>244.5972984</x:v>
      </x:c>
      <x:c r="O154" s="14" t="n">
        <x:f>F154*K154</x:f>
        <x:v>1222.986492</x:v>
      </x:c>
    </x:row>
    <x:row r="155" ht="21" customHeight="1">
      <x:c r="A155" t="str">
        <x:v>CR-0151</x:v>
      </x:c>
      <x:c r="B155" t="str">
        <x:v>2023-07-10</x:v>
      </x:c>
      <x:c r="C155" t="str">
        <x:v>TPE</x:v>
      </x:c>
      <x:c r="D155" t="str">
        <x:v>Consommation</x:v>
      </x:c>
      <x:c r="E155" t="str">
        <x:v>Fès</x:v>
      </x:c>
      <x:c r="F155" s="14" t="n">
        <x:v>30720.24</x:v>
      </x:c>
      <x:c r="G155" t="n">
        <x:v>24</x:v>
      </x:c>
      <x:c r="H155" t="n">
        <x:v>7.33</x:v>
      </x:c>
      <x:c r="I155" t="n">
        <x:v>0</x:v>
      </x:c>
      <x:c r="J155" t="str">
        <x:v>À jour</x:v>
      </x:c>
      <x:c r="K155" s="16" t="n">
        <x:v>0.0547</x:v>
      </x:c>
      <x:c r="L155" s="16" t="n">
        <x:v>0.7</x:v>
      </x:c>
      <x:c r="M155" t="str">
        <x:v>C</x:v>
      </x:c>
      <x:c r="N155" s="14" t="n">
        <x:f>F155*K155*L155</x:f>
        <x:v>1176.2779896</x:v>
      </x:c>
      <x:c r="O155" s="14" t="n">
        <x:f>F155*K155</x:f>
        <x:v>1680.397128</x:v>
      </x:c>
    </x:row>
    <x:row r="156" ht="21" customHeight="1">
      <x:c r="A156" t="str">
        <x:v>CR-0152</x:v>
      </x:c>
      <x:c r="B156" t="str">
        <x:v>2024-08-10</x:v>
      </x:c>
      <x:c r="C156" t="str">
        <x:v>PME</x:v>
      </x:c>
      <x:c r="D156" t="str">
        <x:v>Équipement</x:v>
      </x:c>
      <x:c r="E156" t="str">
        <x:v>Tanger</x:v>
      </x:c>
      <x:c r="F156" s="14" t="n">
        <x:v>107613.19</x:v>
      </x:c>
      <x:c r="G156" t="n">
        <x:v>24</x:v>
      </x:c>
      <x:c r="H156" t="n">
        <x:v>3.95</x:v>
      </x:c>
      <x:c r="I156" t="n">
        <x:v>0</x:v>
      </x:c>
      <x:c r="J156" t="str">
        <x:v>À jour</x:v>
      </x:c>
      <x:c r="K156" s="16" t="n">
        <x:v>0.0285</x:v>
      </x:c>
      <x:c r="L156" s="16" t="n">
        <x:v>0.4</x:v>
      </x:c>
      <x:c r="M156" t="str">
        <x:v>B</x:v>
      </x:c>
      <x:c r="N156" s="14" t="n">
        <x:f>F156*K156*L156</x:f>
        <x:v>1226.790366</x:v>
      </x:c>
      <x:c r="O156" s="14" t="n">
        <x:f>F156*K156</x:f>
        <x:v>3066.975915</x:v>
      </x:c>
    </x:row>
    <x:row r="157" ht="21" customHeight="1">
      <x:c r="A157" t="str">
        <x:v>CR-0153</x:v>
      </x:c>
      <x:c r="B157" t="str">
        <x:v>2025-09-10</x:v>
      </x:c>
      <x:c r="C157" t="str">
        <x:v>Particuliers</x:v>
      </x:c>
      <x:c r="D157" t="str">
        <x:v>Équipement</x:v>
      </x:c>
      <x:c r="E157" t="str">
        <x:v>Fès</x:v>
      </x:c>
      <x:c r="F157" s="14" t="n">
        <x:v>109022.73</x:v>
      </x:c>
      <x:c r="G157" t="n">
        <x:v>48</x:v>
      </x:c>
      <x:c r="H157" t="n">
        <x:v>7.56</x:v>
      </x:c>
      <x:c r="I157" t="n">
        <x:v>0</x:v>
      </x:c>
      <x:c r="J157" t="str">
        <x:v>À jour</x:v>
      </x:c>
      <x:c r="K157" s="16" t="n">
        <x:v>0.0063</x:v>
      </x:c>
      <x:c r="L157" s="16" t="n">
        <x:v>0.4</x:v>
      </x:c>
      <x:c r="M157" t="str">
        <x:v>A</x:v>
      </x:c>
      <x:c r="N157" s="14" t="n">
        <x:f>F157*K157*L157</x:f>
        <x:v>274.7372796</x:v>
      </x:c>
      <x:c r="O157" s="14" t="n">
        <x:f>F157*K157</x:f>
        <x:v>686.843199</x:v>
      </x:c>
    </x:row>
    <x:row r="158" ht="21" customHeight="1">
      <x:c r="A158" t="str">
        <x:v>CR-0154</x:v>
      </x:c>
      <x:c r="B158" t="str">
        <x:v>2023-10-10</x:v>
      </x:c>
      <x:c r="C158" t="str">
        <x:v>Particuliers</x:v>
      </x:c>
      <x:c r="D158" t="str">
        <x:v>Équipement</x:v>
      </x:c>
      <x:c r="E158" t="str">
        <x:v>Tanger</x:v>
      </x:c>
      <x:c r="F158" s="14" t="n">
        <x:v>45705.42</x:v>
      </x:c>
      <x:c r="G158" t="n">
        <x:v>24</x:v>
      </x:c>
      <x:c r="H158" t="n">
        <x:v>9.29</x:v>
      </x:c>
      <x:c r="I158" t="n">
        <x:v>0</x:v>
      </x:c>
      <x:c r="J158" t="str">
        <x:v>À jour</x:v>
      </x:c>
      <x:c r="K158" s="16" t="n">
        <x:v>0.0324</x:v>
      </x:c>
      <x:c r="L158" s="16" t="n">
        <x:v>0.4</x:v>
      </x:c>
      <x:c r="M158" t="str">
        <x:v>B</x:v>
      </x:c>
      <x:c r="N158" s="14" t="n">
        <x:f>F158*K158*L158</x:f>
        <x:v>592.3422432</x:v>
      </x:c>
      <x:c r="O158" s="14" t="n">
        <x:f>F158*K158</x:f>
        <x:v>1480.8556079999998</x:v>
      </x:c>
    </x:row>
    <x:row r="159" ht="21" customHeight="1">
      <x:c r="A159" t="str">
        <x:v>CR-0155</x:v>
      </x:c>
      <x:c r="B159" t="str">
        <x:v>2024-11-10</x:v>
      </x:c>
      <x:c r="C159" t="str">
        <x:v>Particuliers</x:v>
      </x:c>
      <x:c r="D159" t="str">
        <x:v>Investissement</x:v>
      </x:c>
      <x:c r="E159" t="str">
        <x:v>Tanger</x:v>
      </x:c>
      <x:c r="F159" s="14" t="n">
        <x:v>36087.46</x:v>
      </x:c>
      <x:c r="G159" t="n">
        <x:v>84</x:v>
      </x:c>
      <x:c r="H159" t="n">
        <x:v>8.69</x:v>
      </x:c>
      <x:c r="I159" t="n">
        <x:v>0</x:v>
      </x:c>
      <x:c r="J159" t="str">
        <x:v>À jour</x:v>
      </x:c>
      <x:c r="K159" s="16" t="n">
        <x:v>0.0099</x:v>
      </x:c>
      <x:c r="L159" s="16" t="n">
        <x:v>0.45</x:v>
      </x:c>
      <x:c r="M159" t="str">
        <x:v>A</x:v>
      </x:c>
      <x:c r="N159" s="14" t="n">
        <x:f>F159*K159*L159</x:f>
        <x:v>160.76963430000004</x:v>
      </x:c>
      <x:c r="O159" s="14" t="n">
        <x:f>F159*K159</x:f>
        <x:v>357.26585400000005</x:v>
      </x:c>
    </x:row>
    <x:row r="160" ht="21" customHeight="1">
      <x:c r="A160" t="str">
        <x:v>CR-0156</x:v>
      </x:c>
      <x:c r="B160" t="str">
        <x:v>2025-12-10</x:v>
      </x:c>
      <x:c r="C160" t="str">
        <x:v>Particuliers</x:v>
      </x:c>
      <x:c r="D160" t="str">
        <x:v>Trésorerie</x:v>
      </x:c>
      <x:c r="E160" t="str">
        <x:v>Fès</x:v>
      </x:c>
      <x:c r="F160" s="14" t="n">
        <x:v>40594.05</x:v>
      </x:c>
      <x:c r="G160" t="n">
        <x:v>48</x:v>
      </x:c>
      <x:c r="H160" t="n">
        <x:v>3.52</x:v>
      </x:c>
      <x:c r="I160" t="n">
        <x:v>0</x:v>
      </x:c>
      <x:c r="J160" t="str">
        <x:v>À jour</x:v>
      </x:c>
      <x:c r="K160" s="16" t="n">
        <x:v>0.0364</x:v>
      </x:c>
      <x:c r="L160" s="16" t="n">
        <x:v>0.6</x:v>
      </x:c>
      <x:c r="M160" t="str">
        <x:v>B</x:v>
      </x:c>
      <x:c r="N160" s="14" t="n">
        <x:f>F160*K160*L160</x:f>
        <x:v>886.574052</x:v>
      </x:c>
      <x:c r="O160" s="14" t="n">
        <x:f>F160*K160</x:f>
        <x:v>1477.6234200000001</x:v>
      </x:c>
    </x:row>
    <x:row r="161" ht="21" customHeight="1">
      <x:c r="A161" t="str">
        <x:v>CR-0157</x:v>
      </x:c>
      <x:c r="B161" t="str">
        <x:v>2023-01-10</x:v>
      </x:c>
      <x:c r="C161" t="str">
        <x:v>Particuliers</x:v>
      </x:c>
      <x:c r="D161" t="str">
        <x:v>Investissement</x:v>
      </x:c>
      <x:c r="E161" t="str">
        <x:v>Fès</x:v>
      </x:c>
      <x:c r="F161" s="14" t="n">
        <x:v>45631.69</x:v>
      </x:c>
      <x:c r="G161" t="n">
        <x:v>48</x:v>
      </x:c>
      <x:c r="H161" t="n">
        <x:v>10.48</x:v>
      </x:c>
      <x:c r="I161" t="n">
        <x:v>0</x:v>
      </x:c>
      <x:c r="J161" t="str">
        <x:v>À jour</x:v>
      </x:c>
      <x:c r="K161" s="16" t="n">
        <x:v>0.0505</x:v>
      </x:c>
      <x:c r="L161" s="16" t="n">
        <x:v>0.45</x:v>
      </x:c>
      <x:c r="M161" t="str">
        <x:v>C</x:v>
      </x:c>
      <x:c r="N161" s="14" t="n">
        <x:f>F161*K161*L161</x:f>
        <x:v>1036.9801552500003</x:v>
      </x:c>
      <x:c r="O161" s="14" t="n">
        <x:f>F161*K161</x:f>
        <x:v>2304.4003450000005</x:v>
      </x:c>
    </x:row>
    <x:row r="162" ht="21" customHeight="1">
      <x:c r="A162" t="str">
        <x:v>CR-0158</x:v>
      </x:c>
      <x:c r="B162" t="str">
        <x:v>2024-02-10</x:v>
      </x:c>
      <x:c r="C162" t="str">
        <x:v>PME</x:v>
      </x:c>
      <x:c r="D162" t="str">
        <x:v>Habitat</x:v>
      </x:c>
      <x:c r="E162" t="str">
        <x:v>Rabat</x:v>
      </x:c>
      <x:c r="F162" s="14" t="n">
        <x:v>58934.71</x:v>
      </x:c>
      <x:c r="G162" t="n">
        <x:v>60</x:v>
      </x:c>
      <x:c r="H162" t="n">
        <x:v>5.14</x:v>
      </x:c>
      <x:c r="I162" t="n">
        <x:v>0</x:v>
      </x:c>
      <x:c r="J162" t="str">
        <x:v>À jour</x:v>
      </x:c>
      <x:c r="K162" s="16" t="n">
        <x:v>0.0546</x:v>
      </x:c>
      <x:c r="L162" s="16" t="n">
        <x:v>0.2</x:v>
      </x:c>
      <x:c r="M162" t="str">
        <x:v>C</x:v>
      </x:c>
      <x:c r="N162" s="14" t="n">
        <x:f>F162*K162*L162</x:f>
        <x:v>643.5670332000001</x:v>
      </x:c>
      <x:c r="O162" s="14" t="n">
        <x:f>F162*K162</x:f>
        <x:v>3217.8351660000003</x:v>
      </x:c>
    </x:row>
    <x:row r="163" ht="21" customHeight="1">
      <x:c r="A163" t="str">
        <x:v>CR-0159</x:v>
      </x:c>
      <x:c r="B163" t="str">
        <x:v>2025-03-10</x:v>
      </x:c>
      <x:c r="C163" t="str">
        <x:v>Particuliers</x:v>
      </x:c>
      <x:c r="D163" t="str">
        <x:v>Trésorerie</x:v>
      </x:c>
      <x:c r="E163" t="str">
        <x:v>Rabat</x:v>
      </x:c>
      <x:c r="F163" s="14" t="n">
        <x:v>43117.21</x:v>
      </x:c>
      <x:c r="G163" t="n">
        <x:v>24</x:v>
      </x:c>
      <x:c r="H163" t="n">
        <x:v>4.93</x:v>
      </x:c>
      <x:c r="I163" t="n">
        <x:v>0</x:v>
      </x:c>
      <x:c r="J163" t="str">
        <x:v>À jour</x:v>
      </x:c>
      <x:c r="K163" s="16" t="n">
        <x:v>0.0191</x:v>
      </x:c>
      <x:c r="L163" s="16" t="n">
        <x:v>0.6</x:v>
      </x:c>
      <x:c r="M163" t="str">
        <x:v>A</x:v>
      </x:c>
      <x:c r="N163" s="14" t="n">
        <x:f>F163*K163*L163</x:f>
        <x:v>494.12322659999995</x:v>
      </x:c>
      <x:c r="O163" s="14" t="n">
        <x:f>F163*K163</x:f>
        <x:v>823.5387109999999</x:v>
      </x:c>
    </x:row>
    <x:row r="164" ht="21" customHeight="1">
      <x:c r="A164" t="str">
        <x:v>CR-0160</x:v>
      </x:c>
      <x:c r="B164" t="str">
        <x:v>2023-04-10</x:v>
      </x:c>
      <x:c r="C164" t="str">
        <x:v>PME</x:v>
      </x:c>
      <x:c r="D164" t="str">
        <x:v>Consommation</x:v>
      </x:c>
      <x:c r="E164" t="str">
        <x:v>Tanger</x:v>
      </x:c>
      <x:c r="F164" s="14" t="n">
        <x:v>79473.23</x:v>
      </x:c>
      <x:c r="G164" t="n">
        <x:v>84</x:v>
      </x:c>
      <x:c r="H164" t="n">
        <x:v>8.69</x:v>
      </x:c>
      <x:c r="I164" t="n">
        <x:v>0</x:v>
      </x:c>
      <x:c r="J164" t="str">
        <x:v>À jour</x:v>
      </x:c>
      <x:c r="K164" s="16" t="n">
        <x:v>0.0447</x:v>
      </x:c>
      <x:c r="L164" s="16" t="n">
        <x:v>0.7</x:v>
      </x:c>
      <x:c r="M164" t="str">
        <x:v>B</x:v>
      </x:c>
      <x:c r="N164" s="14" t="n">
        <x:f>F164*K164*L164</x:f>
        <x:v>2486.7173666999993</x:v>
      </x:c>
      <x:c r="O164" s="14" t="n">
        <x:f>F164*K164</x:f>
        <x:v>3552.4533809999994</x:v>
      </x:c>
    </x:row>
    <x:row r="165" ht="21" customHeight="1">
      <x:c r="A165" t="str">
        <x:v>CR-0161</x:v>
      </x:c>
      <x:c r="B165" t="str">
        <x:v>2024-05-10</x:v>
      </x:c>
      <x:c r="C165" t="str">
        <x:v>PME</x:v>
      </x:c>
      <x:c r="D165" t="str">
        <x:v>Équipement</x:v>
      </x:c>
      <x:c r="E165" t="str">
        <x:v>Marrakech</x:v>
      </x:c>
      <x:c r="F165" s="14" t="n">
        <x:v>95115.5</x:v>
      </x:c>
      <x:c r="G165" t="n">
        <x:v>48</x:v>
      </x:c>
      <x:c r="H165" t="n">
        <x:v>6.56</x:v>
      </x:c>
      <x:c r="I165" t="n">
        <x:v>0</x:v>
      </x:c>
      <x:c r="J165" t="str">
        <x:v>À jour</x:v>
      </x:c>
      <x:c r="K165" s="16" t="n">
        <x:v>0.0241</x:v>
      </x:c>
      <x:c r="L165" s="16" t="n">
        <x:v>0.4</x:v>
      </x:c>
      <x:c r="M165" t="str">
        <x:v>B</x:v>
      </x:c>
      <x:c r="N165" s="14" t="n">
        <x:f>F165*K165*L165</x:f>
        <x:v>916.9134200000001</x:v>
      </x:c>
      <x:c r="O165" s="14" t="n">
        <x:f>F165*K165</x:f>
        <x:v>2292.28355</x:v>
      </x:c>
    </x:row>
    <x:row r="166" ht="21" customHeight="1">
      <x:c r="A166" t="str">
        <x:v>CR-0162</x:v>
      </x:c>
      <x:c r="B166" t="str">
        <x:v>2025-06-10</x:v>
      </x:c>
      <x:c r="C166" t="str">
        <x:v>Particuliers</x:v>
      </x:c>
      <x:c r="D166" t="str">
        <x:v>Habitat</x:v>
      </x:c>
      <x:c r="E166" t="str">
        <x:v>Tanger</x:v>
      </x:c>
      <x:c r="F166" s="14" t="n">
        <x:v>93670.73</x:v>
      </x:c>
      <x:c r="G166" t="n">
        <x:v>24</x:v>
      </x:c>
      <x:c r="H166" t="n">
        <x:v>5.07</x:v>
      </x:c>
      <x:c r="I166" t="n">
        <x:v>0</x:v>
      </x:c>
      <x:c r="J166" t="str">
        <x:v>À jour</x:v>
      </x:c>
      <x:c r="K166" s="16" t="n">
        <x:v>0.0223</x:v>
      </x:c>
      <x:c r="L166" s="16" t="n">
        <x:v>0.2</x:v>
      </x:c>
      <x:c r="M166" t="str">
        <x:v>B</x:v>
      </x:c>
      <x:c r="N166" s="14" t="n">
        <x:f>F166*K166*L166</x:f>
        <x:v>417.7714558</x:v>
      </x:c>
      <x:c r="O166" s="14" t="n">
        <x:f>F166*K166</x:f>
        <x:v>2088.857279</x:v>
      </x:c>
    </x:row>
    <x:row r="167" ht="21" customHeight="1">
      <x:c r="A167" t="str">
        <x:v>CR-0163</x:v>
      </x:c>
      <x:c r="B167" t="str">
        <x:v>2023-07-10</x:v>
      </x:c>
      <x:c r="C167" t="str">
        <x:v>Particuliers</x:v>
      </x:c>
      <x:c r="D167" t="str">
        <x:v>Consommation</x:v>
      </x:c>
      <x:c r="E167" t="str">
        <x:v>Marrakech</x:v>
      </x:c>
      <x:c r="F167" s="14" t="n">
        <x:v>71994.77</x:v>
      </x:c>
      <x:c r="G167" t="n">
        <x:v>24</x:v>
      </x:c>
      <x:c r="H167" t="n">
        <x:v>10.34</x:v>
      </x:c>
      <x:c r="I167" t="n">
        <x:v>0</x:v>
      </x:c>
      <x:c r="J167" t="str">
        <x:v>À jour</x:v>
      </x:c>
      <x:c r="K167" s="16" t="n">
        <x:v>0.0632</x:v>
      </x:c>
      <x:c r="L167" s="16" t="n">
        <x:v>0.7</x:v>
      </x:c>
      <x:c r="M167" t="str">
        <x:v>C</x:v>
      </x:c>
      <x:c r="N167" s="14" t="n">
        <x:f>F167*K167*L167</x:f>
        <x:v>3185.0486248000007</x:v>
      </x:c>
      <x:c r="O167" s="14" t="n">
        <x:f>F167*K167</x:f>
        <x:v>4550.069464000001</x:v>
      </x:c>
    </x:row>
    <x:row r="168" ht="21" customHeight="1">
      <x:c r="A168" t="str">
        <x:v>CR-0164</x:v>
      </x:c>
      <x:c r="B168" t="str">
        <x:v>2024-08-10</x:v>
      </x:c>
      <x:c r="C168" t="str">
        <x:v>TPE</x:v>
      </x:c>
      <x:c r="D168" t="str">
        <x:v>Habitat</x:v>
      </x:c>
      <x:c r="E168" t="str">
        <x:v>Fès</x:v>
      </x:c>
      <x:c r="F168" s="14" t="n">
        <x:v>65119.3</x:v>
      </x:c>
      <x:c r="G168" t="n">
        <x:v>36</x:v>
      </x:c>
      <x:c r="H168" t="n">
        <x:v>9.91</x:v>
      </x:c>
      <x:c r="I168" t="n">
        <x:v>0</x:v>
      </x:c>
      <x:c r="J168" t="str">
        <x:v>À jour</x:v>
      </x:c>
      <x:c r="K168" s="16" t="n">
        <x:v>0.0118</x:v>
      </x:c>
      <x:c r="L168" s="16" t="n">
        <x:v>0.2</x:v>
      </x:c>
      <x:c r="M168" t="str">
        <x:v>A</x:v>
      </x:c>
      <x:c r="N168" s="14" t="n">
        <x:f>F168*K168*L168</x:f>
        <x:v>153.68154800000002</x:v>
      </x:c>
      <x:c r="O168" s="14" t="n">
        <x:f>F168*K168</x:f>
        <x:v>768.40774</x:v>
      </x:c>
    </x:row>
    <x:row r="169" ht="21" customHeight="1">
      <x:c r="A169" t="str">
        <x:v>CR-0165</x:v>
      </x:c>
      <x:c r="B169" t="str">
        <x:v>2025-09-10</x:v>
      </x:c>
      <x:c r="C169" t="str">
        <x:v>TPE</x:v>
      </x:c>
      <x:c r="D169" t="str">
        <x:v>Trésorerie</x:v>
      </x:c>
      <x:c r="E169" t="str">
        <x:v>Rabat</x:v>
      </x:c>
      <x:c r="F169" s="14" t="n">
        <x:v>83267.3</x:v>
      </x:c>
      <x:c r="G169" t="n">
        <x:v>24</x:v>
      </x:c>
      <x:c r="H169" t="n">
        <x:v>9.97</x:v>
      </x:c>
      <x:c r="I169" t="n">
        <x:v>0</x:v>
      </x:c>
      <x:c r="J169" t="str">
        <x:v>À jour</x:v>
      </x:c>
      <x:c r="K169" s="16" t="n">
        <x:v>0.01</x:v>
      </x:c>
      <x:c r="L169" s="16" t="n">
        <x:v>0.6</x:v>
      </x:c>
      <x:c r="M169" t="str">
        <x:v>A</x:v>
      </x:c>
      <x:c r="N169" s="14" t="n">
        <x:f>F169*K169*L169</x:f>
        <x:v>499.6038</x:v>
      </x:c>
      <x:c r="O169" s="14" t="n">
        <x:f>F169*K169</x:f>
        <x:v>832.673</x:v>
      </x:c>
    </x:row>
    <x:row r="170" ht="21" customHeight="1">
      <x:c r="A170" t="str">
        <x:v>CR-0166</x:v>
      </x:c>
      <x:c r="B170" t="str">
        <x:v>2023-10-10</x:v>
      </x:c>
      <x:c r="C170" t="str">
        <x:v>Particuliers</x:v>
      </x:c>
      <x:c r="D170" t="str">
        <x:v>Consommation</x:v>
      </x:c>
      <x:c r="E170" t="str">
        <x:v>Marrakech</x:v>
      </x:c>
      <x:c r="F170" s="14" t="n">
        <x:v>86783.78</x:v>
      </x:c>
      <x:c r="G170" t="n">
        <x:v>48</x:v>
      </x:c>
      <x:c r="H170" t="n">
        <x:v>8.36</x:v>
      </x:c>
      <x:c r="I170" t="n">
        <x:v>0</x:v>
      </x:c>
      <x:c r="J170" t="str">
        <x:v>À jour</x:v>
      </x:c>
      <x:c r="K170" s="16" t="n">
        <x:v>0.0498</x:v>
      </x:c>
      <x:c r="L170" s="16" t="n">
        <x:v>0.7</x:v>
      </x:c>
      <x:c r="M170" t="str">
        <x:v>B</x:v>
      </x:c>
      <x:c r="N170" s="14" t="n">
        <x:f>F170*K170*L170</x:f>
        <x:v>3025.282570799999</x:v>
      </x:c>
      <x:c r="O170" s="14" t="n">
        <x:f>F170*K170</x:f>
        <x:v>4321.832243999999</x:v>
      </x:c>
    </x:row>
    <x:row r="171" ht="21" customHeight="1">
      <x:c r="A171" t="str">
        <x:v>CR-0167</x:v>
      </x:c>
      <x:c r="B171" t="str">
        <x:v>2024-11-10</x:v>
      </x:c>
      <x:c r="C171" t="str">
        <x:v>TPE</x:v>
      </x:c>
      <x:c r="D171" t="str">
        <x:v>Équipement</x:v>
      </x:c>
      <x:c r="E171" t="str">
        <x:v>Tanger</x:v>
      </x:c>
      <x:c r="F171" s="14" t="n">
        <x:v>46562.17</x:v>
      </x:c>
      <x:c r="G171" t="n">
        <x:v>120</x:v>
      </x:c>
      <x:c r="H171" t="n">
        <x:v>4.37</x:v>
      </x:c>
      <x:c r="I171" t="n">
        <x:v>0</x:v>
      </x:c>
      <x:c r="J171" t="str">
        <x:v>À jour</x:v>
      </x:c>
      <x:c r="K171" s="16" t="n">
        <x:v>0.0138</x:v>
      </x:c>
      <x:c r="L171" s="16" t="n">
        <x:v>0.4</x:v>
      </x:c>
      <x:c r="M171" t="str">
        <x:v>A</x:v>
      </x:c>
      <x:c r="N171" s="14" t="n">
        <x:f>F171*K171*L171</x:f>
        <x:v>257.0231784</x:v>
      </x:c>
      <x:c r="O171" s="14" t="n">
        <x:f>F171*K171</x:f>
        <x:v>642.557946</x:v>
      </x:c>
    </x:row>
    <x:row r="172" ht="21" customHeight="1">
      <x:c r="A172" t="str">
        <x:v>CR-0168</x:v>
      </x:c>
      <x:c r="B172" t="str">
        <x:v>2025-12-10</x:v>
      </x:c>
      <x:c r="C172" t="str">
        <x:v>Particuliers</x:v>
      </x:c>
      <x:c r="D172" t="str">
        <x:v>Trésorerie</x:v>
      </x:c>
      <x:c r="E172" t="str">
        <x:v>Fès</x:v>
      </x:c>
      <x:c r="F172" s="14" t="n">
        <x:v>51296.14</x:v>
      </x:c>
      <x:c r="G172" t="n">
        <x:v>120</x:v>
      </x:c>
      <x:c r="H172" t="n">
        <x:v>6.8</x:v>
      </x:c>
      <x:c r="I172" t="n">
        <x:v>0</x:v>
      </x:c>
      <x:c r="J172" t="str">
        <x:v>À jour</x:v>
      </x:c>
      <x:c r="K172" s="16" t="n">
        <x:v>0.0621</x:v>
      </x:c>
      <x:c r="L172" s="16" t="n">
        <x:v>0.6</x:v>
      </x:c>
      <x:c r="M172" t="str">
        <x:v>C</x:v>
      </x:c>
      <x:c r="N172" s="14" t="n">
        <x:f>F172*K172*L172</x:f>
        <x:v>1911.2941764</x:v>
      </x:c>
      <x:c r="O172" s="14" t="n">
        <x:f>F172*K172</x:f>
        <x:v>3185.490294</x:v>
      </x:c>
    </x:row>
    <x:row r="173" ht="21" customHeight="1">
      <x:c r="A173" t="str">
        <x:v>CR-0169</x:v>
      </x:c>
      <x:c r="B173" t="str">
        <x:v>2023-01-10</x:v>
      </x:c>
      <x:c r="C173" t="str">
        <x:v>Particuliers</x:v>
      </x:c>
      <x:c r="D173" t="str">
        <x:v>Consommation</x:v>
      </x:c>
      <x:c r="E173" t="str">
        <x:v>Casablanca</x:v>
      </x:c>
      <x:c r="F173" s="14" t="n">
        <x:v>55388.86</x:v>
      </x:c>
      <x:c r="G173" t="n">
        <x:v>84</x:v>
      </x:c>
      <x:c r="H173" t="n">
        <x:v>4.44</x:v>
      </x:c>
      <x:c r="I173" t="n">
        <x:v>0</x:v>
      </x:c>
      <x:c r="J173" t="str">
        <x:v>À jour</x:v>
      </x:c>
      <x:c r="K173" s="16" t="n">
        <x:v>0.02</x:v>
      </x:c>
      <x:c r="L173" s="16" t="n">
        <x:v>0.7</x:v>
      </x:c>
      <x:c r="M173" t="str">
        <x:v>B</x:v>
      </x:c>
      <x:c r="N173" s="14" t="n">
        <x:f>F173*K173*L173</x:f>
        <x:v>775.44404</x:v>
      </x:c>
      <x:c r="O173" s="14" t="n">
        <x:f>F173*K173</x:f>
        <x:v>1107.7772</x:v>
      </x:c>
    </x:row>
    <x:row r="174" ht="21" customHeight="1">
      <x:c r="A174" t="str">
        <x:v>CR-0170</x:v>
      </x:c>
      <x:c r="B174" t="str">
        <x:v>2024-02-10</x:v>
      </x:c>
      <x:c r="C174" t="str">
        <x:v>TPE</x:v>
      </x:c>
      <x:c r="D174" t="str">
        <x:v>Équipement</x:v>
      </x:c>
      <x:c r="E174" t="str">
        <x:v>Fès</x:v>
      </x:c>
      <x:c r="F174" s="14" t="n">
        <x:v>76392.47</x:v>
      </x:c>
      <x:c r="G174" t="n">
        <x:v>36</x:v>
      </x:c>
      <x:c r="H174" t="n">
        <x:v>4.64</x:v>
      </x:c>
      <x:c r="I174" t="n">
        <x:v>0</x:v>
      </x:c>
      <x:c r="J174" t="str">
        <x:v>À jour</x:v>
      </x:c>
      <x:c r="K174" s="16" t="n">
        <x:v>0.0542</x:v>
      </x:c>
      <x:c r="L174" s="16" t="n">
        <x:v>0.4</x:v>
      </x:c>
      <x:c r="M174" t="str">
        <x:v>C</x:v>
      </x:c>
      <x:c r="N174" s="14" t="n">
        <x:f>F174*K174*L174</x:f>
        <x:v>1656.1887496</x:v>
      </x:c>
      <x:c r="O174" s="14" t="n">
        <x:f>F174*K174</x:f>
        <x:v>4140.471874</x:v>
      </x:c>
    </x:row>
    <x:row r="175" ht="21" customHeight="1">
      <x:c r="A175" t="str">
        <x:v>CR-0171</x:v>
      </x:c>
      <x:c r="B175" t="str">
        <x:v>2025-03-10</x:v>
      </x:c>
      <x:c r="C175" t="str">
        <x:v>Particuliers</x:v>
      </x:c>
      <x:c r="D175" t="str">
        <x:v>Consommation</x:v>
      </x:c>
      <x:c r="E175" t="str">
        <x:v>Fès</x:v>
      </x:c>
      <x:c r="F175" s="14" t="n">
        <x:v>44381.23</x:v>
      </x:c>
      <x:c r="G175" t="n">
        <x:v>24</x:v>
      </x:c>
      <x:c r="H175" t="n">
        <x:v>4.78</x:v>
      </x:c>
      <x:c r="I175" t="n">
        <x:v>0</x:v>
      </x:c>
      <x:c r="J175" t="str">
        <x:v>À jour</x:v>
      </x:c>
      <x:c r="K175" s="16" t="n">
        <x:v>0.029</x:v>
      </x:c>
      <x:c r="L175" s="16" t="n">
        <x:v>0.7</x:v>
      </x:c>
      <x:c r="M175" t="str">
        <x:v>B</x:v>
      </x:c>
      <x:c r="N175" s="14" t="n">
        <x:f>F175*K175*L175</x:f>
        <x:v>900.938969</x:v>
      </x:c>
      <x:c r="O175" s="14" t="n">
        <x:f>F175*K175</x:f>
        <x:v>1287.0556700000002</x:v>
      </x:c>
    </x:row>
    <x:row r="176" ht="21" customHeight="1">
      <x:c r="A176" t="str">
        <x:v>CR-0172</x:v>
      </x:c>
      <x:c r="B176" t="str">
        <x:v>2023-04-10</x:v>
      </x:c>
      <x:c r="C176" t="str">
        <x:v>TPE</x:v>
      </x:c>
      <x:c r="D176" t="str">
        <x:v>Investissement</x:v>
      </x:c>
      <x:c r="E176" t="str">
        <x:v>Tanger</x:v>
      </x:c>
      <x:c r="F176" s="14" t="n">
        <x:v>89574.09</x:v>
      </x:c>
      <x:c r="G176" t="n">
        <x:v>120</x:v>
      </x:c>
      <x:c r="H176" t="n">
        <x:v>8.93</x:v>
      </x:c>
      <x:c r="I176" t="n">
        <x:v>0</x:v>
      </x:c>
      <x:c r="J176" t="str">
        <x:v>À jour</x:v>
      </x:c>
      <x:c r="K176" s="16" t="n">
        <x:v>0.0176</x:v>
      </x:c>
      <x:c r="L176" s="16" t="n">
        <x:v>0.45</x:v>
      </x:c>
      <x:c r="M176" t="str">
        <x:v>A</x:v>
      </x:c>
      <x:c r="N176" s="14" t="n">
        <x:f>F176*K176*L176</x:f>
        <x:v>709.4267928</x:v>
      </x:c>
      <x:c r="O176" s="14" t="n">
        <x:f>F176*K176</x:f>
        <x:v>1576.503984</x:v>
      </x:c>
    </x:row>
    <x:row r="177" ht="21" customHeight="1">
      <x:c r="A177" t="str">
        <x:v>CR-0173</x:v>
      </x:c>
      <x:c r="B177" t="str">
        <x:v>2024-05-10</x:v>
      </x:c>
      <x:c r="C177" t="str">
        <x:v>Particuliers</x:v>
      </x:c>
      <x:c r="D177" t="str">
        <x:v>Trésorerie</x:v>
      </x:c>
      <x:c r="E177" t="str">
        <x:v>Rabat</x:v>
      </x:c>
      <x:c r="F177" s="14" t="n">
        <x:v>58679</x:v>
      </x:c>
      <x:c r="G177" t="n">
        <x:v>84</x:v>
      </x:c>
      <x:c r="H177" t="n">
        <x:v>6.04</x:v>
      </x:c>
      <x:c r="I177" t="n">
        <x:v>0</x:v>
      </x:c>
      <x:c r="J177" t="str">
        <x:v>À jour</x:v>
      </x:c>
      <x:c r="K177" s="16" t="n">
        <x:v>0.0486</x:v>
      </x:c>
      <x:c r="L177" s="16" t="n">
        <x:v>0.6</x:v>
      </x:c>
      <x:c r="M177" t="str">
        <x:v>B</x:v>
      </x:c>
      <x:c r="N177" s="14" t="n">
        <x:f>F177*K177*L177</x:f>
        <x:v>1711.07964</x:v>
      </x:c>
      <x:c r="O177" s="14" t="n">
        <x:f>F177*K177</x:f>
        <x:v>2851.7994</x:v>
      </x:c>
    </x:row>
    <x:row r="178" ht="21" customHeight="1">
      <x:c r="A178" t="str">
        <x:v>CR-0174</x:v>
      </x:c>
      <x:c r="B178" t="str">
        <x:v>2025-06-10</x:v>
      </x:c>
      <x:c r="C178" t="str">
        <x:v>TPE</x:v>
      </x:c>
      <x:c r="D178" t="str">
        <x:v>Habitat</x:v>
      </x:c>
      <x:c r="E178" t="str">
        <x:v>Fès</x:v>
      </x:c>
      <x:c r="F178" s="14" t="n">
        <x:v>64747.32</x:v>
      </x:c>
      <x:c r="G178" t="n">
        <x:v>48</x:v>
      </x:c>
      <x:c r="H178" t="n">
        <x:v>4.23</x:v>
      </x:c>
      <x:c r="I178" t="n">
        <x:v>0</x:v>
      </x:c>
      <x:c r="J178" t="str">
        <x:v>À jour</x:v>
      </x:c>
      <x:c r="K178" s="16" t="n">
        <x:v>0.0205</x:v>
      </x:c>
      <x:c r="L178" s="16" t="n">
        <x:v>0.2</x:v>
      </x:c>
      <x:c r="M178" t="str">
        <x:v>B</x:v>
      </x:c>
      <x:c r="N178" s="14" t="n">
        <x:f>F178*K178*L178</x:f>
        <x:v>265.464012</x:v>
      </x:c>
      <x:c r="O178" s="14" t="n">
        <x:f>F178*K178</x:f>
        <x:v>1327.32006</x:v>
      </x:c>
    </x:row>
    <x:row r="179" ht="21" customHeight="1">
      <x:c r="A179" t="str">
        <x:v>CR-0175</x:v>
      </x:c>
      <x:c r="B179" t="str">
        <x:v>2023-07-10</x:v>
      </x:c>
      <x:c r="C179" t="str">
        <x:v>TPE</x:v>
      </x:c>
      <x:c r="D179" t="str">
        <x:v>Consommation</x:v>
      </x:c>
      <x:c r="E179" t="str">
        <x:v>Rabat</x:v>
      </x:c>
      <x:c r="F179" s="14" t="n">
        <x:v>68511.09</x:v>
      </x:c>
      <x:c r="G179" t="n">
        <x:v>36</x:v>
      </x:c>
      <x:c r="H179" t="n">
        <x:v>10.48</x:v>
      </x:c>
      <x:c r="I179" t="n">
        <x:v>0</x:v>
      </x:c>
      <x:c r="J179" t="str">
        <x:v>À jour</x:v>
      </x:c>
      <x:c r="K179" s="16" t="n">
        <x:v>0.0195</x:v>
      </x:c>
      <x:c r="L179" s="16" t="n">
        <x:v>0.7</x:v>
      </x:c>
      <x:c r="M179" t="str">
        <x:v>A</x:v>
      </x:c>
      <x:c r="N179" s="14" t="n">
        <x:f>F179*K179*L179</x:f>
        <x:v>935.1763784999998</x:v>
      </x:c>
      <x:c r="O179" s="14" t="n">
        <x:f>F179*K179</x:f>
        <x:v>1335.9662549999998</x:v>
      </x:c>
    </x:row>
    <x:row r="180" ht="21" customHeight="1">
      <x:c r="A180" t="str">
        <x:v>CR-0176</x:v>
      </x:c>
      <x:c r="B180" t="str">
        <x:v>2024-08-10</x:v>
      </x:c>
      <x:c r="C180" t="str">
        <x:v>Particuliers</x:v>
      </x:c>
      <x:c r="D180" t="str">
        <x:v>Équipement</x:v>
      </x:c>
      <x:c r="E180" t="str">
        <x:v>Tanger</x:v>
      </x:c>
      <x:c r="F180" s="14" t="n">
        <x:v>95635.42</x:v>
      </x:c>
      <x:c r="G180" t="n">
        <x:v>84</x:v>
      </x:c>
      <x:c r="H180" t="n">
        <x:v>7.26</x:v>
      </x:c>
      <x:c r="I180" t="n">
        <x:v>0</x:v>
      </x:c>
      <x:c r="J180" t="str">
        <x:v>À jour</x:v>
      </x:c>
      <x:c r="K180" s="16" t="n">
        <x:v>0.0324</x:v>
      </x:c>
      <x:c r="L180" s="16" t="n">
        <x:v>0.4</x:v>
      </x:c>
      <x:c r="M180" t="str">
        <x:v>B</x:v>
      </x:c>
      <x:c r="N180" s="14" t="n">
        <x:f>F180*K180*L180</x:f>
        <x:v>1239.4350432</x:v>
      </x:c>
      <x:c r="O180" s="14" t="n">
        <x:f>F180*K180</x:f>
        <x:v>3098.587608</x:v>
      </x:c>
    </x:row>
    <x:row r="181" ht="21" customHeight="1">
      <x:c r="A181" t="str">
        <x:v>CR-0177</x:v>
      </x:c>
      <x:c r="B181" t="str">
        <x:v>2025-09-10</x:v>
      </x:c>
      <x:c r="C181" t="str">
        <x:v>PME</x:v>
      </x:c>
      <x:c r="D181" t="str">
        <x:v>Consommation</x:v>
      </x:c>
      <x:c r="E181" t="str">
        <x:v>Rabat</x:v>
      </x:c>
      <x:c r="F181" s="14" t="n">
        <x:v>71637.63</x:v>
      </x:c>
      <x:c r="G181" t="n">
        <x:v>48</x:v>
      </x:c>
      <x:c r="H181" t="n">
        <x:v>4.99</x:v>
      </x:c>
      <x:c r="I181" t="n">
        <x:v>0</x:v>
      </x:c>
      <x:c r="J181" t="str">
        <x:v>À jour</x:v>
      </x:c>
      <x:c r="K181" s="16" t="n">
        <x:v>0.0574</x:v>
      </x:c>
      <x:c r="L181" s="16" t="n">
        <x:v>0.7</x:v>
      </x:c>
      <x:c r="M181" t="str">
        <x:v>C</x:v>
      </x:c>
      <x:c r="N181" s="14" t="n">
        <x:f>F181*K181*L181</x:f>
        <x:v>2878.3999734</x:v>
      </x:c>
      <x:c r="O181" s="14" t="n">
        <x:f>F181*K181</x:f>
        <x:v>4111.999962</x:v>
      </x:c>
    </x:row>
    <x:row r="182" ht="21" customHeight="1">
      <x:c r="A182" t="str">
        <x:v>CR-0178</x:v>
      </x:c>
      <x:c r="B182" t="str">
        <x:v>2023-10-10</x:v>
      </x:c>
      <x:c r="C182" t="str">
        <x:v>Particuliers</x:v>
      </x:c>
      <x:c r="D182" t="str">
        <x:v>Trésorerie</x:v>
      </x:c>
      <x:c r="E182" t="str">
        <x:v>Marrakech</x:v>
      </x:c>
      <x:c r="F182" s="14" t="n">
        <x:v>111014.79</x:v>
      </x:c>
      <x:c r="G182" t="n">
        <x:v>120</x:v>
      </x:c>
      <x:c r="H182" t="n">
        <x:v>8.72</x:v>
      </x:c>
      <x:c r="I182" t="n">
        <x:v>0</x:v>
      </x:c>
      <x:c r="J182" t="str">
        <x:v>À jour</x:v>
      </x:c>
      <x:c r="K182" s="16" t="n">
        <x:v>0.0386</x:v>
      </x:c>
      <x:c r="L182" s="16" t="n">
        <x:v>0.6</x:v>
      </x:c>
      <x:c r="M182" t="str">
        <x:v>B</x:v>
      </x:c>
      <x:c r="N182" s="14" t="n">
        <x:f>F182*K182*L182</x:f>
        <x:v>2571.1025363999997</x:v>
      </x:c>
      <x:c r="O182" s="14" t="n">
        <x:f>F182*K182</x:f>
        <x:v>4285.170894</x:v>
      </x:c>
    </x:row>
    <x:row r="183" ht="21" customHeight="1">
      <x:c r="A183" t="str">
        <x:v>CR-0179</x:v>
      </x:c>
      <x:c r="B183" t="str">
        <x:v>2024-11-10</x:v>
      </x:c>
      <x:c r="C183" t="str">
        <x:v>Particuliers</x:v>
      </x:c>
      <x:c r="D183" t="str">
        <x:v>Équipement</x:v>
      </x:c>
      <x:c r="E183" t="str">
        <x:v>Casablanca</x:v>
      </x:c>
      <x:c r="F183" s="14" t="n">
        <x:v>88193.55</x:v>
      </x:c>
      <x:c r="G183" t="n">
        <x:v>36</x:v>
      </x:c>
      <x:c r="H183" t="n">
        <x:v>6.84</x:v>
      </x:c>
      <x:c r="I183" t="n">
        <x:v>0</x:v>
      </x:c>
      <x:c r="J183" t="str">
        <x:v>À jour</x:v>
      </x:c>
      <x:c r="K183" s="16" t="n">
        <x:v>0.0519</x:v>
      </x:c>
      <x:c r="L183" s="16" t="n">
        <x:v>0.4</x:v>
      </x:c>
      <x:c r="M183" t="str">
        <x:v>C</x:v>
      </x:c>
      <x:c r="N183" s="14" t="n">
        <x:f>F183*K183*L183</x:f>
        <x:v>1830.8980980000001</x:v>
      </x:c>
      <x:c r="O183" s="14" t="n">
        <x:f>F183*K183</x:f>
        <x:v>4577.245245</x:v>
      </x:c>
    </x:row>
    <x:row r="184" ht="21" customHeight="1">
      <x:c r="A184" t="str">
        <x:v>CR-0180</x:v>
      </x:c>
      <x:c r="B184" t="str">
        <x:v>2025-12-10</x:v>
      </x:c>
      <x:c r="C184" t="str">
        <x:v>TPE</x:v>
      </x:c>
      <x:c r="D184" t="str">
        <x:v>Consommation</x:v>
      </x:c>
      <x:c r="E184" t="str">
        <x:v>Rabat</x:v>
      </x:c>
      <x:c r="F184" s="14" t="n">
        <x:v>30999.35</x:v>
      </x:c>
      <x:c r="G184" t="n">
        <x:v>60</x:v>
      </x:c>
      <x:c r="H184" t="n">
        <x:v>9.13</x:v>
      </x:c>
      <x:c r="I184" t="n">
        <x:v>0</x:v>
      </x:c>
      <x:c r="J184" t="str">
        <x:v>À jour</x:v>
      </x:c>
      <x:c r="K184" s="16" t="n">
        <x:v>0.0111</x:v>
      </x:c>
      <x:c r="L184" s="16" t="n">
        <x:v>0.7</x:v>
      </x:c>
      <x:c r="M184" t="str">
        <x:v>A</x:v>
      </x:c>
      <x:c r="N184" s="14" t="n">
        <x:f>F184*K184*L184</x:f>
        <x:v>240.86494949999997</x:v>
      </x:c>
      <x:c r="O184" s="14" t="n">
        <x:f>F184*K184</x:f>
        <x:v>344.092785</x:v>
      </x:c>
    </x:row>
    <x:row r="185" ht="21" customHeight="1">
      <x:c r="A185" t="str">
        <x:v>CR-0181</x:v>
      </x:c>
      <x:c r="B185" t="str">
        <x:v>2023-01-10</x:v>
      </x:c>
      <x:c r="C185" t="str">
        <x:v>PME</x:v>
      </x:c>
      <x:c r="D185" t="str">
        <x:v>Investissement</x:v>
      </x:c>
      <x:c r="E185" t="str">
        <x:v>Casablanca</x:v>
      </x:c>
      <x:c r="F185" s="14" t="n">
        <x:v>113060.61</x:v>
      </x:c>
      <x:c r="G185" t="n">
        <x:v>24</x:v>
      </x:c>
      <x:c r="H185" t="n">
        <x:v>6.26</x:v>
      </x:c>
      <x:c r="I185" t="n">
        <x:v>0</x:v>
      </x:c>
      <x:c r="J185" t="str">
        <x:v>À jour</x:v>
      </x:c>
      <x:c r="K185" s="16" t="n">
        <x:v>0.0389</x:v>
      </x:c>
      <x:c r="L185" s="16" t="n">
        <x:v>0.45</x:v>
      </x:c>
      <x:c r="M185" t="str">
        <x:v>B</x:v>
      </x:c>
      <x:c r="N185" s="14" t="n">
        <x:f>F185*K185*L185</x:f>
        <x:v>1979.1259780500002</x:v>
      </x:c>
      <x:c r="O185" s="14" t="n">
        <x:f>F185*K185</x:f>
        <x:v>4398.057729</x:v>
      </x:c>
    </x:row>
    <x:row r="186" ht="21" customHeight="1">
      <x:c r="A186" t="str">
        <x:v>CR-0182</x:v>
      </x:c>
      <x:c r="B186" t="str">
        <x:v>2024-02-10</x:v>
      </x:c>
      <x:c r="C186" t="str">
        <x:v>Particuliers</x:v>
      </x:c>
      <x:c r="D186" t="str">
        <x:v>Habitat</x:v>
      </x:c>
      <x:c r="E186" t="str">
        <x:v>Casablanca</x:v>
      </x:c>
      <x:c r="F186" s="14" t="n">
        <x:v>78415.8</x:v>
      </x:c>
      <x:c r="G186" t="n">
        <x:v>84</x:v>
      </x:c>
      <x:c r="H186" t="n">
        <x:v>5.36</x:v>
      </x:c>
      <x:c r="I186" t="n">
        <x:v>0</x:v>
      </x:c>
      <x:c r="J186" t="str">
        <x:v>À jour</x:v>
      </x:c>
      <x:c r="K186" s="16" t="n">
        <x:v>0.0071</x:v>
      </x:c>
      <x:c r="L186" s="16" t="n">
        <x:v>0.2</x:v>
      </x:c>
      <x:c r="M186" t="str">
        <x:v>A</x:v>
      </x:c>
      <x:c r="N186" s="14" t="n">
        <x:f>F186*K186*L186</x:f>
        <x:v>111.35043600000002</x:v>
      </x:c>
      <x:c r="O186" s="14" t="n">
        <x:f>F186*K186</x:f>
        <x:v>556.7521800000001</x:v>
      </x:c>
    </x:row>
    <x:row r="187" ht="21" customHeight="1">
      <x:c r="A187" t="str">
        <x:v>CR-0183</x:v>
      </x:c>
      <x:c r="B187" t="str">
        <x:v>2025-03-10</x:v>
      </x:c>
      <x:c r="C187" t="str">
        <x:v>TPE</x:v>
      </x:c>
      <x:c r="D187" t="str">
        <x:v>Consommation</x:v>
      </x:c>
      <x:c r="E187" t="str">
        <x:v>Tanger</x:v>
      </x:c>
      <x:c r="F187" s="14" t="n">
        <x:v>94672.82</x:v>
      </x:c>
      <x:c r="G187" t="n">
        <x:v>84</x:v>
      </x:c>
      <x:c r="H187" t="n">
        <x:v>8.73</x:v>
      </x:c>
      <x:c r="I187" t="n">
        <x:v>0</x:v>
      </x:c>
      <x:c r="J187" t="str">
        <x:v>À jour</x:v>
      </x:c>
      <x:c r="K187" s="16" t="n">
        <x:v>0.0183</x:v>
      </x:c>
      <x:c r="L187" s="16" t="n">
        <x:v>0.7</x:v>
      </x:c>
      <x:c r="M187" t="str">
        <x:v>A</x:v>
      </x:c>
      <x:c r="N187" s="14" t="n">
        <x:f>F187*K187*L187</x:f>
        <x:v>1212.7588242000002</x:v>
      </x:c>
      <x:c r="O187" s="14" t="n">
        <x:f>F187*K187</x:f>
        <x:v>1732.5126060000002</x:v>
      </x:c>
    </x:row>
    <x:row r="188" ht="21" customHeight="1">
      <x:c r="A188" t="str">
        <x:v>CR-0184</x:v>
      </x:c>
      <x:c r="B188" t="str">
        <x:v>2023-04-10</x:v>
      </x:c>
      <x:c r="C188" t="str">
        <x:v>PME</x:v>
      </x:c>
      <x:c r="D188" t="str">
        <x:v>Consommation</x:v>
      </x:c>
      <x:c r="E188" t="str">
        <x:v>Tanger</x:v>
      </x:c>
      <x:c r="F188" s="14" t="n">
        <x:v>72281.04</x:v>
      </x:c>
      <x:c r="G188" t="n">
        <x:v>24</x:v>
      </x:c>
      <x:c r="H188" t="n">
        <x:v>5.68</x:v>
      </x:c>
      <x:c r="I188" t="n">
        <x:v>0</x:v>
      </x:c>
      <x:c r="J188" t="str">
        <x:v>À jour</x:v>
      </x:c>
      <x:c r="K188" s="16" t="n">
        <x:v>0.019</x:v>
      </x:c>
      <x:c r="L188" s="16" t="n">
        <x:v>0.7</x:v>
      </x:c>
      <x:c r="M188" t="str">
        <x:v>A</x:v>
      </x:c>
      <x:c r="N188" s="14" t="n">
        <x:f>F188*K188*L188</x:f>
        <x:v>961.3378319999998</x:v>
      </x:c>
      <x:c r="O188" s="14" t="n">
        <x:f>F188*K188</x:f>
        <x:v>1373.3397599999998</x:v>
      </x:c>
    </x:row>
    <x:row r="189" ht="21" customHeight="1">
      <x:c r="A189" t="str">
        <x:v>CR-0185</x:v>
      </x:c>
      <x:c r="B189" t="str">
        <x:v>2024-05-10</x:v>
      </x:c>
      <x:c r="C189" t="str">
        <x:v>Particuliers</x:v>
      </x:c>
      <x:c r="D189" t="str">
        <x:v>Investissement</x:v>
      </x:c>
      <x:c r="E189" t="str">
        <x:v>Marrakech</x:v>
      </x:c>
      <x:c r="F189" s="14" t="n">
        <x:v>48685.28</x:v>
      </x:c>
      <x:c r="G189" t="n">
        <x:v>48</x:v>
      </x:c>
      <x:c r="H189" t="n">
        <x:v>10.45</x:v>
      </x:c>
      <x:c r="I189" t="n">
        <x:v>0</x:v>
      </x:c>
      <x:c r="J189" t="str">
        <x:v>À jour</x:v>
      </x:c>
      <x:c r="K189" s="16" t="n">
        <x:v>0.0391</x:v>
      </x:c>
      <x:c r="L189" s="16" t="n">
        <x:v>0.45</x:v>
      </x:c>
      <x:c r="M189" t="str">
        <x:v>B</x:v>
      </x:c>
      <x:c r="N189" s="14" t="n">
        <x:f>F189*K189*L189</x:f>
        <x:v>856.6175016000001</x:v>
      </x:c>
      <x:c r="O189" s="14" t="n">
        <x:f>F189*K189</x:f>
        <x:v>1903.594448</x:v>
      </x:c>
    </x:row>
    <x:row r="190" ht="21" customHeight="1">
      <x:c r="A190" t="str">
        <x:v>CR-0186</x:v>
      </x:c>
      <x:c r="B190" t="str">
        <x:v>2025-06-10</x:v>
      </x:c>
      <x:c r="C190" t="str">
        <x:v>Particuliers</x:v>
      </x:c>
      <x:c r="D190" t="str">
        <x:v>Équipement</x:v>
      </x:c>
      <x:c r="E190" t="str">
        <x:v>Rabat</x:v>
      </x:c>
      <x:c r="F190" s="14" t="n">
        <x:v>61623.7</x:v>
      </x:c>
      <x:c r="G190" t="n">
        <x:v>84</x:v>
      </x:c>
      <x:c r="H190" t="n">
        <x:v>4.64</x:v>
      </x:c>
      <x:c r="I190" t="n">
        <x:v>0</x:v>
      </x:c>
      <x:c r="J190" t="str">
        <x:v>À jour</x:v>
      </x:c>
      <x:c r="K190" s="16" t="n">
        <x:v>0.0246</x:v>
      </x:c>
      <x:c r="L190" s="16" t="n">
        <x:v>0.4</x:v>
      </x:c>
      <x:c r="M190" t="str">
        <x:v>B</x:v>
      </x:c>
      <x:c r="N190" s="14" t="n">
        <x:f>F190*K190*L190</x:f>
        <x:v>606.377208</x:v>
      </x:c>
      <x:c r="O190" s="14" t="n">
        <x:f>F190*K190</x:f>
        <x:v>1515.94302</x:v>
      </x:c>
    </x:row>
    <x:row r="191" ht="21" customHeight="1">
      <x:c r="A191" t="str">
        <x:v>CR-0187</x:v>
      </x:c>
      <x:c r="B191" t="str">
        <x:v>2023-07-10</x:v>
      </x:c>
      <x:c r="C191" t="str">
        <x:v>Professionnels</x:v>
      </x:c>
      <x:c r="D191" t="str">
        <x:v>Habitat</x:v>
      </x:c>
      <x:c r="E191" t="str">
        <x:v>Tanger</x:v>
      </x:c>
      <x:c r="F191" s="14" t="n">
        <x:v>33085.59</x:v>
      </x:c>
      <x:c r="G191" t="n">
        <x:v>24</x:v>
      </x:c>
      <x:c r="H191" t="n">
        <x:v>4.55</x:v>
      </x:c>
      <x:c r="I191" t="n">
        <x:v>0</x:v>
      </x:c>
      <x:c r="J191" t="str">
        <x:v>À jour</x:v>
      </x:c>
      <x:c r="K191" s="16" t="n">
        <x:v>0.0618</x:v>
      </x:c>
      <x:c r="L191" s="16" t="n">
        <x:v>0.2</x:v>
      </x:c>
      <x:c r="M191" t="str">
        <x:v>C</x:v>
      </x:c>
      <x:c r="N191" s="14" t="n">
        <x:f>F191*K191*L191</x:f>
        <x:v>408.9378924</x:v>
      </x:c>
      <x:c r="O191" s="14" t="n">
        <x:f>F191*K191</x:f>
        <x:v>2044.6894619999998</x:v>
      </x:c>
    </x:row>
    <x:row r="192" ht="21" customHeight="1">
      <x:c r="A192" t="str">
        <x:v>CR-0188</x:v>
      </x:c>
      <x:c r="B192" t="str">
        <x:v>2024-08-10</x:v>
      </x:c>
      <x:c r="C192" t="str">
        <x:v>TPE</x:v>
      </x:c>
      <x:c r="D192" t="str">
        <x:v>Investissement</x:v>
      </x:c>
      <x:c r="E192" t="str">
        <x:v>Fès</x:v>
      </x:c>
      <x:c r="F192" s="14" t="n">
        <x:v>37005.09</x:v>
      </x:c>
      <x:c r="G192" t="n">
        <x:v>84</x:v>
      </x:c>
      <x:c r="H192" t="n">
        <x:v>8.13</x:v>
      </x:c>
      <x:c r="I192" t="n">
        <x:v>0</x:v>
      </x:c>
      <x:c r="J192" t="str">
        <x:v>À jour</x:v>
      </x:c>
      <x:c r="K192" s="16" t="n">
        <x:v>0.0521</x:v>
      </x:c>
      <x:c r="L192" s="16" t="n">
        <x:v>0.45</x:v>
      </x:c>
      <x:c r="M192" t="str">
        <x:v>C</x:v>
      </x:c>
      <x:c r="N192" s="14" t="n">
        <x:f>F192*K192*L192</x:f>
        <x:v>867.5843350499999</x:v>
      </x:c>
      <x:c r="O192" s="14" t="n">
        <x:f>F192*K192</x:f>
        <x:v>1927.9651889999998</x:v>
      </x:c>
    </x:row>
    <x:row r="193" ht="21" customHeight="1">
      <x:c r="A193" t="str">
        <x:v>CR-0189</x:v>
      </x:c>
      <x:c r="B193" t="str">
        <x:v>2025-09-10</x:v>
      </x:c>
      <x:c r="C193" t="str">
        <x:v>Particuliers</x:v>
      </x:c>
      <x:c r="D193" t="str">
        <x:v>Trésorerie</x:v>
      </x:c>
      <x:c r="E193" t="str">
        <x:v>Casablanca</x:v>
      </x:c>
      <x:c r="F193" s="14" t="n">
        <x:v>41484.41</x:v>
      </x:c>
      <x:c r="G193" t="n">
        <x:v>48</x:v>
      </x:c>
      <x:c r="H193" t="n">
        <x:v>10.03</x:v>
      </x:c>
      <x:c r="I193" t="n">
        <x:v>0</x:v>
      </x:c>
      <x:c r="J193" t="str">
        <x:v>À jour</x:v>
      </x:c>
      <x:c r="K193" s="16" t="n">
        <x:v>0.0251</x:v>
      </x:c>
      <x:c r="L193" s="16" t="n">
        <x:v>0.6</x:v>
      </x:c>
      <x:c r="M193" t="str">
        <x:v>B</x:v>
      </x:c>
      <x:c r="N193" s="14" t="n">
        <x:f>F193*K193*L193</x:f>
        <x:v>624.7552146000002</x:v>
      </x:c>
      <x:c r="O193" s="14" t="n">
        <x:f>F193*K193</x:f>
        <x:v>1041.2586910000002</x:v>
      </x:c>
    </x:row>
    <x:row r="194" ht="21" customHeight="1">
      <x:c r="A194" t="str">
        <x:v>CR-0190</x:v>
      </x:c>
      <x:c r="B194" t="str">
        <x:v>2023-10-10</x:v>
      </x:c>
      <x:c r="C194" t="str">
        <x:v>Particuliers</x:v>
      </x:c>
      <x:c r="D194" t="str">
        <x:v>Investissement</x:v>
      </x:c>
      <x:c r="E194" t="str">
        <x:v>Fès</x:v>
      </x:c>
      <x:c r="F194" s="14" t="n">
        <x:v>95884.11</x:v>
      </x:c>
      <x:c r="G194" t="n">
        <x:v>84</x:v>
      </x:c>
      <x:c r="H194" t="n">
        <x:v>8.56</x:v>
      </x:c>
      <x:c r="I194" t="n">
        <x:v>0</x:v>
      </x:c>
      <x:c r="J194" t="str">
        <x:v>À jour</x:v>
      </x:c>
      <x:c r="K194" s="16" t="n">
        <x:v>0.0186</x:v>
      </x:c>
      <x:c r="L194" s="16" t="n">
        <x:v>0.45</x:v>
      </x:c>
      <x:c r="M194" t="str">
        <x:v>A</x:v>
      </x:c>
      <x:c r="N194" s="14" t="n">
        <x:f>F194*K194*L194</x:f>
        <x:v>802.5500007</x:v>
      </x:c>
      <x:c r="O194" s="14" t="n">
        <x:f>F194*K194</x:f>
        <x:v>1783.444446</x:v>
      </x:c>
    </x:row>
    <x:row r="195" ht="21" customHeight="1">
      <x:c r="A195" t="str">
        <x:v>CR-0191</x:v>
      </x:c>
      <x:c r="B195" t="str">
        <x:v>2024-11-10</x:v>
      </x:c>
      <x:c r="C195" t="str">
        <x:v>Particuliers</x:v>
      </x:c>
      <x:c r="D195" t="str">
        <x:v>Habitat</x:v>
      </x:c>
      <x:c r="E195" t="str">
        <x:v>Fès</x:v>
      </x:c>
      <x:c r="F195" s="14" t="n">
        <x:v>45618.53</x:v>
      </x:c>
      <x:c r="G195" t="n">
        <x:v>48</x:v>
      </x:c>
      <x:c r="H195" t="n">
        <x:v>5.52</x:v>
      </x:c>
      <x:c r="I195" t="n">
        <x:v>0</x:v>
      </x:c>
      <x:c r="J195" t="str">
        <x:v>À jour</x:v>
      </x:c>
      <x:c r="K195" s="16" t="n">
        <x:v>0.0418</x:v>
      </x:c>
      <x:c r="L195" s="16" t="n">
        <x:v>0.2</x:v>
      </x:c>
      <x:c r="M195" t="str">
        <x:v>B</x:v>
      </x:c>
      <x:c r="N195" s="14" t="n">
        <x:f>F195*K195*L195</x:f>
        <x:v>381.3709108</x:v>
      </x:c>
      <x:c r="O195" s="14" t="n">
        <x:f>F195*K195</x:f>
        <x:v>1906.8545539999998</x:v>
      </x:c>
    </x:row>
    <x:row r="196" ht="21" customHeight="1">
      <x:c r="A196" t="str">
        <x:v>CR-0192</x:v>
      </x:c>
      <x:c r="B196" t="str">
        <x:v>2025-12-10</x:v>
      </x:c>
      <x:c r="C196" t="str">
        <x:v>Professionnels</x:v>
      </x:c>
      <x:c r="D196" t="str">
        <x:v>Trésorerie</x:v>
      </x:c>
      <x:c r="E196" t="str">
        <x:v>Casablanca</x:v>
      </x:c>
      <x:c r="F196" s="14" t="n">
        <x:v>80023.2</x:v>
      </x:c>
      <x:c r="G196" t="n">
        <x:v>36</x:v>
      </x:c>
      <x:c r="H196" t="n">
        <x:v>8.53</x:v>
      </x:c>
      <x:c r="I196" t="n">
        <x:v>0</x:v>
      </x:c>
      <x:c r="J196" t="str">
        <x:v>À jour</x:v>
      </x:c>
      <x:c r="K196" s="16" t="n">
        <x:v>0.0501</x:v>
      </x:c>
      <x:c r="L196" s="16" t="n">
        <x:v>0.6</x:v>
      </x:c>
      <x:c r="M196" t="str">
        <x:v>C</x:v>
      </x:c>
      <x:c r="N196" s="14" t="n">
        <x:f>F196*K196*L196</x:f>
        <x:v>2405.4973919999998</x:v>
      </x:c>
      <x:c r="O196" s="14" t="n">
        <x:f>F196*K196</x:f>
        <x:v>4009.16232</x:v>
      </x:c>
    </x:row>
    <x:row r="197" ht="21" customHeight="1">
      <x:c r="A197" t="str">
        <x:v>CR-0193</x:v>
      </x:c>
      <x:c r="B197" t="str">
        <x:v>2023-01-10</x:v>
      </x:c>
      <x:c r="C197" t="str">
        <x:v>Particuliers</x:v>
      </x:c>
      <x:c r="D197" t="str">
        <x:v>Investissement</x:v>
      </x:c>
      <x:c r="E197" t="str">
        <x:v>Tanger</x:v>
      </x:c>
      <x:c r="F197" s="14" t="n">
        <x:v>110968.05</x:v>
      </x:c>
      <x:c r="G197" t="n">
        <x:v>120</x:v>
      </x:c>
      <x:c r="H197" t="n">
        <x:v>9.84</x:v>
      </x:c>
      <x:c r="I197" t="n">
        <x:v>0</x:v>
      </x:c>
      <x:c r="J197" t="str">
        <x:v>À jour</x:v>
      </x:c>
      <x:c r="K197" s="16" t="n">
        <x:v>0.0163</x:v>
      </x:c>
      <x:c r="L197" s="16" t="n">
        <x:v>0.45</x:v>
      </x:c>
      <x:c r="M197" t="str">
        <x:v>A</x:v>
      </x:c>
      <x:c r="N197" s="14" t="n">
        <x:f>F197*K197*L197</x:f>
        <x:v>813.9506467499999</x:v>
      </x:c>
      <x:c r="O197" s="14" t="n">
        <x:f>F197*K197</x:f>
        <x:v>1808.7792149999998</x:v>
      </x:c>
    </x:row>
    <x:row r="198" ht="21" customHeight="1">
      <x:c r="A198" t="str">
        <x:v>CR-0194</x:v>
      </x:c>
      <x:c r="B198" t="str">
        <x:v>2024-02-10</x:v>
      </x:c>
      <x:c r="C198" t="str">
        <x:v>Particuliers</x:v>
      </x:c>
      <x:c r="D198" t="str">
        <x:v>Investissement</x:v>
      </x:c>
      <x:c r="E198" t="str">
        <x:v>Marrakech</x:v>
      </x:c>
      <x:c r="F198" s="14" t="n">
        <x:v>56271.75</x:v>
      </x:c>
      <x:c r="G198" t="n">
        <x:v>24</x:v>
      </x:c>
      <x:c r="H198" t="n">
        <x:v>5.63</x:v>
      </x:c>
      <x:c r="I198" t="n">
        <x:v>0</x:v>
      </x:c>
      <x:c r="J198" t="str">
        <x:v>À jour</x:v>
      </x:c>
      <x:c r="K198" s="16" t="n">
        <x:v>0.0344</x:v>
      </x:c>
      <x:c r="L198" s="16" t="n">
        <x:v>0.45</x:v>
      </x:c>
      <x:c r="M198" t="str">
        <x:v>B</x:v>
      </x:c>
      <x:c r="N198" s="14" t="n">
        <x:f>F198*K198*L198</x:f>
        <x:v>871.08669</x:v>
      </x:c>
      <x:c r="O198" s="14" t="n">
        <x:f>F198*K198</x:f>
        <x:v>1935.7482</x:v>
      </x:c>
    </x:row>
    <x:row r="199" ht="21" customHeight="1">
      <x:c r="A199" t="str">
        <x:v>CR-0195</x:v>
      </x:c>
      <x:c r="B199" t="str">
        <x:v>2025-03-10</x:v>
      </x:c>
      <x:c r="C199" t="str">
        <x:v>Particuliers</x:v>
      </x:c>
      <x:c r="D199" t="str">
        <x:v>Investissement</x:v>
      </x:c>
      <x:c r="E199" t="str">
        <x:v>Marrakech</x:v>
      </x:c>
      <x:c r="F199" s="14" t="n">
        <x:v>59442.69</x:v>
      </x:c>
      <x:c r="G199" t="n">
        <x:v>36</x:v>
      </x:c>
      <x:c r="H199" t="n">
        <x:v>4.79</x:v>
      </x:c>
      <x:c r="I199" t="n">
        <x:v>0</x:v>
      </x:c>
      <x:c r="J199" t="str">
        <x:v>À jour</x:v>
      </x:c>
      <x:c r="K199" s="16" t="n">
        <x:v>0.0615</x:v>
      </x:c>
      <x:c r="L199" s="16" t="n">
        <x:v>0.45</x:v>
      </x:c>
      <x:c r="M199" t="str">
        <x:v>C</x:v>
      </x:c>
      <x:c r="N199" s="14" t="n">
        <x:f>F199*K199*L199</x:f>
        <x:v>1645.0764457500002</x:v>
      </x:c>
      <x:c r="O199" s="14" t="n">
        <x:f>F199*K199</x:f>
        <x:v>3655.7254350000003</x:v>
      </x:c>
    </x:row>
    <x:row r="200" ht="21" customHeight="1">
      <x:c r="A200" t="str">
        <x:v>CR-0196</x:v>
      </x:c>
      <x:c r="B200" t="str">
        <x:v>2023-04-10</x:v>
      </x:c>
      <x:c r="C200" t="str">
        <x:v>PME</x:v>
      </x:c>
      <x:c r="D200" t="str">
        <x:v>Investissement</x:v>
      </x:c>
      <x:c r="E200" t="str">
        <x:v>Marrakech</x:v>
      </x:c>
      <x:c r="F200" s="14" t="n">
        <x:v>44708.22</x:v>
      </x:c>
      <x:c r="G200" t="n">
        <x:v>84</x:v>
      </x:c>
      <x:c r="H200" t="n">
        <x:v>9</x:v>
      </x:c>
      <x:c r="I200" t="n">
        <x:v>0</x:v>
      </x:c>
      <x:c r="J200" t="str">
        <x:v>À jour</x:v>
      </x:c>
      <x:c r="K200" s="16" t="n">
        <x:v>0.0389</x:v>
      </x:c>
      <x:c r="L200" s="16" t="n">
        <x:v>0.45</x:v>
      </x:c>
      <x:c r="M200" t="str">
        <x:v>B</x:v>
      </x:c>
      <x:c r="N200" s="14" t="n">
        <x:f>F200*K200*L200</x:f>
        <x:v>782.6173911000001</x:v>
      </x:c>
      <x:c r="O200" s="14" t="n">
        <x:f>F200*K200</x:f>
        <x:v>1739.149758</x:v>
      </x:c>
    </x:row>
    <x:row r="201" ht="21" customHeight="1">
      <x:c r="A201" t="str">
        <x:v>CR-0197</x:v>
      </x:c>
      <x:c r="B201" t="str">
        <x:v>2024-05-10</x:v>
      </x:c>
      <x:c r="C201" t="str">
        <x:v>Particuliers</x:v>
      </x:c>
      <x:c r="D201" t="str">
        <x:v>Habitat</x:v>
      </x:c>
      <x:c r="E201" t="str">
        <x:v>Casablanca</x:v>
      </x:c>
      <x:c r="F201" s="14" t="n">
        <x:v>80046.12</x:v>
      </x:c>
      <x:c r="G201" t="n">
        <x:v>36</x:v>
      </x:c>
      <x:c r="H201" t="n">
        <x:v>7.85</x:v>
      </x:c>
      <x:c r="I201" t="n">
        <x:v>0</x:v>
      </x:c>
      <x:c r="J201" t="str">
        <x:v>À jour</x:v>
      </x:c>
      <x:c r="K201" s="16" t="n">
        <x:v>0.0251</x:v>
      </x:c>
      <x:c r="L201" s="16" t="n">
        <x:v>0.2</x:v>
      </x:c>
      <x:c r="M201" t="str">
        <x:v>B</x:v>
      </x:c>
      <x:c r="N201" s="14" t="n">
        <x:f>F201*K201*L201</x:f>
        <x:v>401.83152240000004</x:v>
      </x:c>
      <x:c r="O201" s="14" t="n">
        <x:f>F201*K201</x:f>
        <x:v>2009.157612</x:v>
      </x:c>
    </x:row>
    <x:row r="202" ht="21" customHeight="1">
      <x:c r="A202" t="str">
        <x:v>CR-0198</x:v>
      </x:c>
      <x:c r="B202" t="str">
        <x:v>2025-06-10</x:v>
      </x:c>
      <x:c r="C202" t="str">
        <x:v>PME</x:v>
      </x:c>
      <x:c r="D202" t="str">
        <x:v>Équipement</x:v>
      </x:c>
      <x:c r="E202" t="str">
        <x:v>Casablanca</x:v>
      </x:c>
      <x:c r="F202" s="14" t="n">
        <x:v>80111.3</x:v>
      </x:c>
      <x:c r="G202" t="n">
        <x:v>84</x:v>
      </x:c>
      <x:c r="H202" t="n">
        <x:v>7.48</x:v>
      </x:c>
      <x:c r="I202" t="n">
        <x:v>0</x:v>
      </x:c>
      <x:c r="J202" t="str">
        <x:v>À jour</x:v>
      </x:c>
      <x:c r="K202" s="16" t="n">
        <x:v>0.0501</x:v>
      </x:c>
      <x:c r="L202" s="16" t="n">
        <x:v>0.4</x:v>
      </x:c>
      <x:c r="M202" t="str">
        <x:v>C</x:v>
      </x:c>
      <x:c r="N202" s="14" t="n">
        <x:f>F202*K202*L202</x:f>
        <x:v>1605.430452</x:v>
      </x:c>
      <x:c r="O202" s="14" t="n">
        <x:f>F202*K202</x:f>
        <x:v>4013.57613</x:v>
      </x:c>
    </x:row>
    <x:row r="203" ht="21" customHeight="1">
      <x:c r="A203" t="str">
        <x:v>CR-0199</x:v>
      </x:c>
      <x:c r="B203" t="str">
        <x:v>2023-07-10</x:v>
      </x:c>
      <x:c r="C203" t="str">
        <x:v>Particuliers</x:v>
      </x:c>
      <x:c r="D203" t="str">
        <x:v>Équipement</x:v>
      </x:c>
      <x:c r="E203" t="str">
        <x:v>Casablanca</x:v>
      </x:c>
      <x:c r="F203" s="14" t="n">
        <x:v>91221.72</x:v>
      </x:c>
      <x:c r="G203" t="n">
        <x:v>60</x:v>
      </x:c>
      <x:c r="H203" t="n">
        <x:v>3.8</x:v>
      </x:c>
      <x:c r="I203" t="n">
        <x:v>0</x:v>
      </x:c>
      <x:c r="J203" t="str">
        <x:v>À jour</x:v>
      </x:c>
      <x:c r="K203" s="16" t="n">
        <x:v>0.0353</x:v>
      </x:c>
      <x:c r="L203" s="16" t="n">
        <x:v>0.4</x:v>
      </x:c>
      <x:c r="M203" t="str">
        <x:v>B</x:v>
      </x:c>
      <x:c r="N203" s="14" t="n">
        <x:f>F203*K203*L203</x:f>
        <x:v>1288.0506864</x:v>
      </x:c>
      <x:c r="O203" s="14" t="n">
        <x:f>F203*K203</x:f>
        <x:v>3220.1267159999998</x:v>
      </x:c>
    </x:row>
    <x:row r="204" ht="21" customHeight="1">
      <x:c r="A204" t="str">
        <x:v>CR-0200</x:v>
      </x:c>
      <x:c r="B204" t="str">
        <x:v>2024-08-10</x:v>
      </x:c>
      <x:c r="C204" t="str">
        <x:v>Particuliers</x:v>
      </x:c>
      <x:c r="D204" t="str">
        <x:v>Investissement</x:v>
      </x:c>
      <x:c r="E204" t="str">
        <x:v>Fès</x:v>
      </x:c>
      <x:c r="F204" s="14" t="n">
        <x:v>67294.36</x:v>
      </x:c>
      <x:c r="G204" t="n">
        <x:v>84</x:v>
      </x:c>
      <x:c r="H204" t="n">
        <x:v>4.44</x:v>
      </x:c>
      <x:c r="I204" t="n">
        <x:v>0</x:v>
      </x:c>
      <x:c r="J204" t="str">
        <x:v>À jour</x:v>
      </x:c>
      <x:c r="K204" s="16" t="n">
        <x:v>0.0101</x:v>
      </x:c>
      <x:c r="L204" s="16" t="n">
        <x:v>0.45</x:v>
      </x:c>
      <x:c r="M204" t="str">
        <x:v>A</x:v>
      </x:c>
      <x:c r="N204" s="14" t="n">
        <x:f>F204*K204*L204</x:f>
        <x:v>305.8528662</x:v>
      </x:c>
      <x:c r="O204" s="14" t="n">
        <x:f>F204*K204</x:f>
        <x:v>679.673036</x:v>
      </x:c>
    </x:row>
    <x:row r="205" ht="21" customHeight="1">
      <x:c r="A205" t="str">
        <x:v>CR-0201</x:v>
      </x:c>
      <x:c r="B205" t="str">
        <x:v>2025-09-10</x:v>
      </x:c>
      <x:c r="C205" t="str">
        <x:v>PME</x:v>
      </x:c>
      <x:c r="D205" t="str">
        <x:v>Investissement</x:v>
      </x:c>
      <x:c r="E205" t="str">
        <x:v>Fès</x:v>
      </x:c>
      <x:c r="F205" s="14" t="n">
        <x:v>112751.99</x:v>
      </x:c>
      <x:c r="G205" t="n">
        <x:v>24</x:v>
      </x:c>
      <x:c r="H205" t="n">
        <x:v>8.69</x:v>
      </x:c>
      <x:c r="I205" t="n">
        <x:v>0</x:v>
      </x:c>
      <x:c r="J205" t="str">
        <x:v>À jour</x:v>
      </x:c>
      <x:c r="K205" s="16" t="n">
        <x:v>0.0424</x:v>
      </x:c>
      <x:c r="L205" s="16" t="n">
        <x:v>0.45</x:v>
      </x:c>
      <x:c r="M205" t="str">
        <x:v>B</x:v>
      </x:c>
      <x:c r="N205" s="14" t="n">
        <x:f>F205*K205*L205</x:f>
        <x:v>2151.3079692</x:v>
      </x:c>
      <x:c r="O205" s="14" t="n">
        <x:f>F205*K205</x:f>
        <x:v>4780.684376</x:v>
      </x:c>
    </x:row>
    <x:row r="206" ht="21" customHeight="1">
      <x:c r="A206" t="str">
        <x:v>CR-0202</x:v>
      </x:c>
      <x:c r="B206" t="str">
        <x:v>2023-10-10</x:v>
      </x:c>
      <x:c r="C206" t="str">
        <x:v>Particuliers</x:v>
      </x:c>
      <x:c r="D206" t="str">
        <x:v>Habitat</x:v>
      </x:c>
      <x:c r="E206" t="str">
        <x:v>Rabat</x:v>
      </x:c>
      <x:c r="F206" s="14" t="n">
        <x:v>54264.15</x:v>
      </x:c>
      <x:c r="G206" t="n">
        <x:v>48</x:v>
      </x:c>
      <x:c r="H206" t="n">
        <x:v>5.34</x:v>
      </x:c>
      <x:c r="I206" t="n">
        <x:v>0</x:v>
      </x:c>
      <x:c r="J206" t="str">
        <x:v>À jour</x:v>
      </x:c>
      <x:c r="K206" s="16" t="n">
        <x:v>0.0442</x:v>
      </x:c>
      <x:c r="L206" s="16" t="n">
        <x:v>0.2</x:v>
      </x:c>
      <x:c r="M206" t="str">
        <x:v>B</x:v>
      </x:c>
      <x:c r="N206" s="14" t="n">
        <x:f>F206*K206*L206</x:f>
        <x:v>479.6950860000001</x:v>
      </x:c>
      <x:c r="O206" s="14" t="n">
        <x:f>F206*K206</x:f>
        <x:v>2398.4754300000004</x:v>
      </x:c>
    </x:row>
    <x:row r="207" ht="21" customHeight="1">
      <x:c r="A207" t="str">
        <x:v>CR-0203</x:v>
      </x:c>
      <x:c r="B207" t="str">
        <x:v>2024-11-10</x:v>
      </x:c>
      <x:c r="C207" t="str">
        <x:v>Particuliers</x:v>
      </x:c>
      <x:c r="D207" t="str">
        <x:v>Consommation</x:v>
      </x:c>
      <x:c r="E207" t="str">
        <x:v>Fès</x:v>
      </x:c>
      <x:c r="F207" s="14" t="n">
        <x:v>60545.6</x:v>
      </x:c>
      <x:c r="G207" t="n">
        <x:v>24</x:v>
      </x:c>
      <x:c r="H207" t="n">
        <x:v>6.58</x:v>
      </x:c>
      <x:c r="I207" t="n">
        <x:v>0</x:v>
      </x:c>
      <x:c r="J207" t="str">
        <x:v>À jour</x:v>
      </x:c>
      <x:c r="K207" s="16" t="n">
        <x:v>0.0595</x:v>
      </x:c>
      <x:c r="L207" s="16" t="n">
        <x:v>0.7</x:v>
      </x:c>
      <x:c r="M207" t="str">
        <x:v>C</x:v>
      </x:c>
      <x:c r="N207" s="14" t="n">
        <x:f>F207*K207*L207</x:f>
        <x:v>2521.7242399999996</x:v>
      </x:c>
      <x:c r="O207" s="14" t="n">
        <x:f>F207*K207</x:f>
        <x:v>3602.4631999999997</x:v>
      </x:c>
    </x:row>
    <x:row r="208" ht="21" customHeight="1">
      <x:c r="A208" t="str">
        <x:v>CR-0204</x:v>
      </x:c>
      <x:c r="B208" t="str">
        <x:v>2025-12-10</x:v>
      </x:c>
      <x:c r="C208" t="str">
        <x:v>TPE</x:v>
      </x:c>
      <x:c r="D208" t="str">
        <x:v>Trésorerie</x:v>
      </x:c>
      <x:c r="E208" t="str">
        <x:v>Casablanca</x:v>
      </x:c>
      <x:c r="F208" s="14" t="n">
        <x:v>98301.7</x:v>
      </x:c>
      <x:c r="G208" t="n">
        <x:v>24</x:v>
      </x:c>
      <x:c r="H208" t="n">
        <x:v>7.44</x:v>
      </x:c>
      <x:c r="I208" t="n">
        <x:v>0</x:v>
      </x:c>
      <x:c r="J208" t="str">
        <x:v>À jour</x:v>
      </x:c>
      <x:c r="K208" s="16" t="n">
        <x:v>0.0392</x:v>
      </x:c>
      <x:c r="L208" s="16" t="n">
        <x:v>0.6</x:v>
      </x:c>
      <x:c r="M208" t="str">
        <x:v>B</x:v>
      </x:c>
      <x:c r="N208" s="14" t="n">
        <x:f>F208*K208*L208</x:f>
        <x:v>2312.0559839999996</x:v>
      </x:c>
      <x:c r="O208" s="14" t="n">
        <x:f>F208*K208</x:f>
        <x:v>3853.4266399999997</x:v>
      </x:c>
    </x:row>
    <x:row r="209" ht="21" customHeight="1">
      <x:c r="A209" t="str">
        <x:v>CR-0205</x:v>
      </x:c>
      <x:c r="B209" t="str">
        <x:v>2023-01-10</x:v>
      </x:c>
      <x:c r="C209" t="str">
        <x:v>TPE</x:v>
      </x:c>
      <x:c r="D209" t="str">
        <x:v>Investissement</x:v>
      </x:c>
      <x:c r="E209" t="str">
        <x:v>Fès</x:v>
      </x:c>
      <x:c r="F209" s="14" t="n">
        <x:v>95794.26</x:v>
      </x:c>
      <x:c r="G209" t="n">
        <x:v>120</x:v>
      </x:c>
      <x:c r="H209" t="n">
        <x:v>9.82</x:v>
      </x:c>
      <x:c r="I209" t="n">
        <x:v>0</x:v>
      </x:c>
      <x:c r="J209" t="str">
        <x:v>À jour</x:v>
      </x:c>
      <x:c r="K209" s="16" t="n">
        <x:v>0.049</x:v>
      </x:c>
      <x:c r="L209" s="16" t="n">
        <x:v>0.45</x:v>
      </x:c>
      <x:c r="M209" t="str">
        <x:v>B</x:v>
      </x:c>
      <x:c r="N209" s="14" t="n">
        <x:f>F209*K209*L209</x:f>
        <x:v>2112.263433</x:v>
      </x:c>
      <x:c r="O209" s="14" t="n">
        <x:f>F209*K209</x:f>
        <x:v>4693.91874</x:v>
      </x:c>
    </x:row>
    <x:row r="210" ht="21" customHeight="1">
      <x:c r="A210" t="str">
        <x:v>CR-0206</x:v>
      </x:c>
      <x:c r="B210" t="str">
        <x:v>2024-02-10</x:v>
      </x:c>
      <x:c r="C210" t="str">
        <x:v>TPE</x:v>
      </x:c>
      <x:c r="D210" t="str">
        <x:v>Investissement</x:v>
      </x:c>
      <x:c r="E210" t="str">
        <x:v>Tanger</x:v>
      </x:c>
      <x:c r="F210" s="14" t="n">
        <x:v>79659.4</x:v>
      </x:c>
      <x:c r="G210" t="n">
        <x:v>24</x:v>
      </x:c>
      <x:c r="H210" t="n">
        <x:v>6.96</x:v>
      </x:c>
      <x:c r="I210" t="n">
        <x:v>0</x:v>
      </x:c>
      <x:c r="J210" t="str">
        <x:v>À jour</x:v>
      </x:c>
      <x:c r="K210" s="16" t="n">
        <x:v>0.029</x:v>
      </x:c>
      <x:c r="L210" s="16" t="n">
        <x:v>0.45</x:v>
      </x:c>
      <x:c r="M210" t="str">
        <x:v>B</x:v>
      </x:c>
      <x:c r="N210" s="14" t="n">
        <x:f>F210*K210*L210</x:f>
        <x:v>1039.55517</x:v>
      </x:c>
      <x:c r="O210" s="14" t="n">
        <x:f>F210*K210</x:f>
        <x:v>2310.1226</x:v>
      </x:c>
    </x:row>
    <x:row r="211" ht="21" customHeight="1">
      <x:c r="A211" t="str">
        <x:v>CR-0207</x:v>
      </x:c>
      <x:c r="B211" t="str">
        <x:v>2025-03-10</x:v>
      </x:c>
      <x:c r="C211" t="str">
        <x:v>PME</x:v>
      </x:c>
      <x:c r="D211" t="str">
        <x:v>Habitat</x:v>
      </x:c>
      <x:c r="E211" t="str">
        <x:v>Fès</x:v>
      </x:c>
      <x:c r="F211" s="14" t="n">
        <x:v>71348.05</x:v>
      </x:c>
      <x:c r="G211" t="n">
        <x:v>120</x:v>
      </x:c>
      <x:c r="H211" t="n">
        <x:v>4.18</x:v>
      </x:c>
      <x:c r="I211" t="n">
        <x:v>0</x:v>
      </x:c>
      <x:c r="J211" t="str">
        <x:v>À jour</x:v>
      </x:c>
      <x:c r="K211" s="16" t="n">
        <x:v>0.0279</x:v>
      </x:c>
      <x:c r="L211" s="16" t="n">
        <x:v>0.2</x:v>
      </x:c>
      <x:c r="M211" t="str">
        <x:v>B</x:v>
      </x:c>
      <x:c r="N211" s="14" t="n">
        <x:f>F211*K211*L211</x:f>
        <x:v>398.12211900000005</x:v>
      </x:c>
      <x:c r="O211" s="14" t="n">
        <x:f>F211*K211</x:f>
        <x:v>1990.610595</x:v>
      </x:c>
    </x:row>
    <x:row r="212" ht="21" customHeight="1">
      <x:c r="A212" t="str">
        <x:v>CR-0208</x:v>
      </x:c>
      <x:c r="B212" t="str">
        <x:v>2023-04-10</x:v>
      </x:c>
      <x:c r="C212" t="str">
        <x:v>Particuliers</x:v>
      </x:c>
      <x:c r="D212" t="str">
        <x:v>Investissement</x:v>
      </x:c>
      <x:c r="E212" t="str">
        <x:v>Marrakech</x:v>
      </x:c>
      <x:c r="F212" s="14" t="n">
        <x:v>73777.64</x:v>
      </x:c>
      <x:c r="G212" t="n">
        <x:v>84</x:v>
      </x:c>
      <x:c r="H212" t="n">
        <x:v>3.88</x:v>
      </x:c>
      <x:c r="I212" t="n">
        <x:v>0</x:v>
      </x:c>
      <x:c r="J212" t="str">
        <x:v>À jour</x:v>
      </x:c>
      <x:c r="K212" s="16" t="n">
        <x:v>0.0417</x:v>
      </x:c>
      <x:c r="L212" s="16" t="n">
        <x:v>0.45</x:v>
      </x:c>
      <x:c r="M212" t="str">
        <x:v>B</x:v>
      </x:c>
      <x:c r="N212" s="14" t="n">
        <x:f>F212*K212*L212</x:f>
        <x:v>1384.4374146</x:v>
      </x:c>
      <x:c r="O212" s="14" t="n">
        <x:f>F212*K212</x:f>
        <x:v>3076.527588</x:v>
      </x:c>
    </x:row>
    <x:row r="213" ht="21" customHeight="1">
      <x:c r="A213" t="str">
        <x:v>CR-0209</x:v>
      </x:c>
      <x:c r="B213" t="str">
        <x:v>2024-05-10</x:v>
      </x:c>
      <x:c r="C213" t="str">
        <x:v>Particuliers</x:v>
      </x:c>
      <x:c r="D213" t="str">
        <x:v>Consommation</x:v>
      </x:c>
      <x:c r="E213" t="str">
        <x:v>Casablanca</x:v>
      </x:c>
      <x:c r="F213" s="14" t="n">
        <x:v>114839.8</x:v>
      </x:c>
      <x:c r="G213" t="n">
        <x:v>120</x:v>
      </x:c>
      <x:c r="H213" t="n">
        <x:v>9.84</x:v>
      </x:c>
      <x:c r="I213" t="n">
        <x:v>0</x:v>
      </x:c>
      <x:c r="J213" t="str">
        <x:v>À jour</x:v>
      </x:c>
      <x:c r="K213" s="16" t="n">
        <x:v>0.0372</x:v>
      </x:c>
      <x:c r="L213" s="16" t="n">
        <x:v>0.7</x:v>
      </x:c>
      <x:c r="M213" t="str">
        <x:v>B</x:v>
      </x:c>
      <x:c r="N213" s="14" t="n">
        <x:f>F213*K213*L213</x:f>
        <x:v>2990.4283919999993</x:v>
      </x:c>
      <x:c r="O213" s="14" t="n">
        <x:f>F213*K213</x:f>
        <x:v>4272.0405599999995</x:v>
      </x:c>
    </x:row>
    <x:row r="214" ht="21" customHeight="1">
      <x:c r="A214" t="str">
        <x:v>CR-0210</x:v>
      </x:c>
      <x:c r="B214" t="str">
        <x:v>2025-06-10</x:v>
      </x:c>
      <x:c r="C214" t="str">
        <x:v>Particuliers</x:v>
      </x:c>
      <x:c r="D214" t="str">
        <x:v>Trésorerie</x:v>
      </x:c>
      <x:c r="E214" t="str">
        <x:v>Fès</x:v>
      </x:c>
      <x:c r="F214" s="14" t="n">
        <x:v>57813.89</x:v>
      </x:c>
      <x:c r="G214" t="n">
        <x:v>48</x:v>
      </x:c>
      <x:c r="H214" t="n">
        <x:v>4.59</x:v>
      </x:c>
      <x:c r="I214" t="n">
        <x:v>0</x:v>
      </x:c>
      <x:c r="J214" t="str">
        <x:v>À jour</x:v>
      </x:c>
      <x:c r="K214" s="16" t="n">
        <x:v>0.0135</x:v>
      </x:c>
      <x:c r="L214" s="16" t="n">
        <x:v>0.6</x:v>
      </x:c>
      <x:c r="M214" t="str">
        <x:v>A</x:v>
      </x:c>
      <x:c r="N214" s="14" t="n">
        <x:f>F214*K214*L214</x:f>
        <x:v>468.292509</x:v>
      </x:c>
      <x:c r="O214" s="14" t="n">
        <x:f>F214*K214</x:f>
        <x:v>780.487515</x:v>
      </x:c>
    </x:row>
    <x:row r="215" ht="21" customHeight="1">
      <x:c r="A215" t="str">
        <x:v>CR-0211</x:v>
      </x:c>
      <x:c r="B215" t="str">
        <x:v>2023-07-10</x:v>
      </x:c>
      <x:c r="C215" t="str">
        <x:v>TPE</x:v>
      </x:c>
      <x:c r="D215" t="str">
        <x:v>Investissement</x:v>
      </x:c>
      <x:c r="E215" t="str">
        <x:v>Casablanca</x:v>
      </x:c>
      <x:c r="F215" s="14" t="n">
        <x:v>67481.24</x:v>
      </x:c>
      <x:c r="G215" t="n">
        <x:v>36</x:v>
      </x:c>
      <x:c r="H215" t="n">
        <x:v>4.55</x:v>
      </x:c>
      <x:c r="I215" t="n">
        <x:v>0</x:v>
      </x:c>
      <x:c r="J215" t="str">
        <x:v>À jour</x:v>
      </x:c>
      <x:c r="K215" s="16" t="n">
        <x:v>0.0241</x:v>
      </x:c>
      <x:c r="L215" s="16" t="n">
        <x:v>0.45</x:v>
      </x:c>
      <x:c r="M215" t="str">
        <x:v>B</x:v>
      </x:c>
      <x:c r="N215" s="14" t="n">
        <x:f>F215*K215*L215</x:f>
        <x:v>731.8340478</x:v>
      </x:c>
      <x:c r="O215" s="14" t="n">
        <x:f>F215*K215</x:f>
        <x:v>1626.297884</x:v>
      </x:c>
    </x:row>
    <x:row r="216" ht="21" customHeight="1">
      <x:c r="A216" t="str">
        <x:v>CR-0212</x:v>
      </x:c>
      <x:c r="B216" t="str">
        <x:v>2024-08-10</x:v>
      </x:c>
      <x:c r="C216" t="str">
        <x:v>TPE</x:v>
      </x:c>
      <x:c r="D216" t="str">
        <x:v>Investissement</x:v>
      </x:c>
      <x:c r="E216" t="str">
        <x:v>Rabat</x:v>
      </x:c>
      <x:c r="F216" s="14" t="n">
        <x:v>58367.59</x:v>
      </x:c>
      <x:c r="G216" t="n">
        <x:v>36</x:v>
      </x:c>
      <x:c r="H216" t="n">
        <x:v>10.38</x:v>
      </x:c>
      <x:c r="I216" t="n">
        <x:v>0</x:v>
      </x:c>
      <x:c r="J216" t="str">
        <x:v>À jour</x:v>
      </x:c>
      <x:c r="K216" s="16" t="n">
        <x:v>0.0621</x:v>
      </x:c>
      <x:c r="L216" s="16" t="n">
        <x:v>0.45</x:v>
      </x:c>
      <x:c r="M216" t="str">
        <x:v>C</x:v>
      </x:c>
      <x:c r="N216" s="14" t="n">
        <x:f>F216*K216*L216</x:f>
        <x:v>1631.0823025500001</x:v>
      </x:c>
      <x:c r="O216" s="14" t="n">
        <x:f>F216*K216</x:f>
        <x:v>3624.627339</x:v>
      </x:c>
    </x:row>
    <x:row r="217" ht="21" customHeight="1">
      <x:c r="A217" t="str">
        <x:v>CR-0213</x:v>
      </x:c>
      <x:c r="B217" t="str">
        <x:v>2025-09-10</x:v>
      </x:c>
      <x:c r="C217" t="str">
        <x:v>TPE</x:v>
      </x:c>
      <x:c r="D217" t="str">
        <x:v>Trésorerie</x:v>
      </x:c>
      <x:c r="E217" t="str">
        <x:v>Tanger</x:v>
      </x:c>
      <x:c r="F217" s="14" t="n">
        <x:v>97408.86</x:v>
      </x:c>
      <x:c r="G217" t="n">
        <x:v>36</x:v>
      </x:c>
      <x:c r="H217" t="n">
        <x:v>3.85</x:v>
      </x:c>
      <x:c r="I217" t="n">
        <x:v>0</x:v>
      </x:c>
      <x:c r="J217" t="str">
        <x:v>À jour</x:v>
      </x:c>
      <x:c r="K217" s="16" t="n">
        <x:v>0.016</x:v>
      </x:c>
      <x:c r="L217" s="16" t="n">
        <x:v>0.6</x:v>
      </x:c>
      <x:c r="M217" t="str">
        <x:v>A</x:v>
      </x:c>
      <x:c r="N217" s="14" t="n">
        <x:f>F217*K217*L217</x:f>
        <x:v>935.125056</x:v>
      </x:c>
      <x:c r="O217" s="14" t="n">
        <x:f>F217*K217</x:f>
        <x:v>1558.54176</x:v>
      </x:c>
    </x:row>
    <x:row r="218" ht="21" customHeight="1">
      <x:c r="A218" t="str">
        <x:v>CR-0214</x:v>
      </x:c>
      <x:c r="B218" t="str">
        <x:v>2023-10-10</x:v>
      </x:c>
      <x:c r="C218" t="str">
        <x:v>Particuliers</x:v>
      </x:c>
      <x:c r="D218" t="str">
        <x:v>Investissement</x:v>
      </x:c>
      <x:c r="E218" t="str">
        <x:v>Fès</x:v>
      </x:c>
      <x:c r="F218" s="14" t="n">
        <x:v>39280.25</x:v>
      </x:c>
      <x:c r="G218" t="n">
        <x:v>84</x:v>
      </x:c>
      <x:c r="H218" t="n">
        <x:v>4.41</x:v>
      </x:c>
      <x:c r="I218" t="n">
        <x:v>0</x:v>
      </x:c>
      <x:c r="J218" t="str">
        <x:v>À jour</x:v>
      </x:c>
      <x:c r="K218" s="16" t="n">
        <x:v>0.0243</x:v>
      </x:c>
      <x:c r="L218" s="16" t="n">
        <x:v>0.45</x:v>
      </x:c>
      <x:c r="M218" t="str">
        <x:v>B</x:v>
      </x:c>
      <x:c r="N218" s="14" t="n">
        <x:f>F218*K218*L218</x:f>
        <x:v>429.52953375</x:v>
      </x:c>
      <x:c r="O218" s="14" t="n">
        <x:f>F218*K218</x:f>
        <x:v>954.5100749999999</x:v>
      </x:c>
    </x:row>
    <x:row r="219" ht="21" customHeight="1">
      <x:c r="A219" t="str">
        <x:v>CR-0215</x:v>
      </x:c>
      <x:c r="B219" t="str">
        <x:v>2024-11-10</x:v>
      </x:c>
      <x:c r="C219" t="str">
        <x:v>PME</x:v>
      </x:c>
      <x:c r="D219" t="str">
        <x:v>Investissement</x:v>
      </x:c>
      <x:c r="E219" t="str">
        <x:v>Tanger</x:v>
      </x:c>
      <x:c r="F219" s="14" t="n">
        <x:v>34712.7</x:v>
      </x:c>
      <x:c r="G219" t="n">
        <x:v>36</x:v>
      </x:c>
      <x:c r="H219" t="n">
        <x:v>8.31</x:v>
      </x:c>
      <x:c r="I219" t="n">
        <x:v>0</x:v>
      </x:c>
      <x:c r="J219" t="str">
        <x:v>À jour</x:v>
      </x:c>
      <x:c r="K219" s="16" t="n">
        <x:v>0.0415</x:v>
      </x:c>
      <x:c r="L219" s="16" t="n">
        <x:v>0.45</x:v>
      </x:c>
      <x:c r="M219" t="str">
        <x:v>B</x:v>
      </x:c>
      <x:c r="N219" s="14" t="n">
        <x:f>F219*K219*L219</x:f>
        <x:v>648.2596725</x:v>
      </x:c>
      <x:c r="O219" s="14" t="n">
        <x:f>F219*K219</x:f>
        <x:v>1440.5770499999999</x:v>
      </x:c>
    </x:row>
    <x:row r="220" ht="21" customHeight="1">
      <x:c r="A220" t="str">
        <x:v>CR-0216</x:v>
      </x:c>
      <x:c r="B220" t="str">
        <x:v>2025-12-10</x:v>
      </x:c>
      <x:c r="C220" t="str">
        <x:v>Particuliers</x:v>
      </x:c>
      <x:c r="D220" t="str">
        <x:v>Équipement</x:v>
      </x:c>
      <x:c r="E220" t="str">
        <x:v>Tanger</x:v>
      </x:c>
      <x:c r="F220" s="14" t="n">
        <x:v>51937.39</x:v>
      </x:c>
      <x:c r="G220" t="n">
        <x:v>36</x:v>
      </x:c>
      <x:c r="H220" t="n">
        <x:v>9.43</x:v>
      </x:c>
      <x:c r="I220" t="n">
        <x:v>0</x:v>
      </x:c>
      <x:c r="J220" t="str">
        <x:v>À jour</x:v>
      </x:c>
      <x:c r="K220" s="16" t="n">
        <x:v>0.0382</x:v>
      </x:c>
      <x:c r="L220" s="16" t="n">
        <x:v>0.4</x:v>
      </x:c>
      <x:c r="M220" t="str">
        <x:v>B</x:v>
      </x:c>
      <x:c r="N220" s="14" t="n">
        <x:f>F220*K220*L220</x:f>
        <x:v>793.6033192</x:v>
      </x:c>
      <x:c r="O220" s="14" t="n">
        <x:f>F220*K220</x:f>
        <x:v>1984.008298</x:v>
      </x:c>
    </x:row>
    <x:row r="221" ht="21" customHeight="1">
      <x:c r="A221" t="str">
        <x:v>CR-0217</x:v>
      </x:c>
      <x:c r="B221" t="str">
        <x:v>2023-01-10</x:v>
      </x:c>
      <x:c r="C221" t="str">
        <x:v>TPE</x:v>
      </x:c>
      <x:c r="D221" t="str">
        <x:v>Habitat</x:v>
      </x:c>
      <x:c r="E221" t="str">
        <x:v>Rabat</x:v>
      </x:c>
      <x:c r="F221" s="14" t="n">
        <x:v>59730.75</x:v>
      </x:c>
      <x:c r="G221" t="n">
        <x:v>24</x:v>
      </x:c>
      <x:c r="H221" t="n">
        <x:v>4.65</x:v>
      </x:c>
      <x:c r="I221" t="n">
        <x:v>0</x:v>
      </x:c>
      <x:c r="J221" t="str">
        <x:v>À jour</x:v>
      </x:c>
      <x:c r="K221" s="16" t="n">
        <x:v>0.0615</x:v>
      </x:c>
      <x:c r="L221" s="16" t="n">
        <x:v>0.2</x:v>
      </x:c>
      <x:c r="M221" t="str">
        <x:v>C</x:v>
      </x:c>
      <x:c r="N221" s="14" t="n">
        <x:f>F221*K221*L221</x:f>
        <x:v>734.688225</x:v>
      </x:c>
      <x:c r="O221" s="14" t="n">
        <x:f>F221*K221</x:f>
        <x:v>3673.441125</x:v>
      </x:c>
    </x:row>
    <x:row r="222" ht="21" customHeight="1">
      <x:c r="A222" t="str">
        <x:v>CR-0218</x:v>
      </x:c>
      <x:c r="B222" t="str">
        <x:v>2024-02-10</x:v>
      </x:c>
      <x:c r="C222" t="str">
        <x:v>PME</x:v>
      </x:c>
      <x:c r="D222" t="str">
        <x:v>Trésorerie</x:v>
      </x:c>
      <x:c r="E222" t="str">
        <x:v>Fès</x:v>
      </x:c>
      <x:c r="F222" s="14" t="n">
        <x:v>81425.1</x:v>
      </x:c>
      <x:c r="G222" t="n">
        <x:v>60</x:v>
      </x:c>
      <x:c r="H222" t="n">
        <x:v>8.57</x:v>
      </x:c>
      <x:c r="I222" t="n">
        <x:v>0</x:v>
      </x:c>
      <x:c r="J222" t="str">
        <x:v>À jour</x:v>
      </x:c>
      <x:c r="K222" s="16" t="n">
        <x:v>0.0612</x:v>
      </x:c>
      <x:c r="L222" s="16" t="n">
        <x:v>0.6</x:v>
      </x:c>
      <x:c r="M222" t="str">
        <x:v>C</x:v>
      </x:c>
      <x:c r="N222" s="14" t="n">
        <x:f>F222*K222*L222</x:f>
        <x:v>2989.9296719999998</x:v>
      </x:c>
      <x:c r="O222" s="14" t="n">
        <x:f>F222*K222</x:f>
        <x:v>4983.21612</x:v>
      </x:c>
    </x:row>
    <x:row r="223" ht="21" customHeight="1">
      <x:c r="A223" t="str">
        <x:v>CR-0219</x:v>
      </x:c>
      <x:c r="B223" t="str">
        <x:v>2025-03-10</x:v>
      </x:c>
      <x:c r="C223" t="str">
        <x:v>Particuliers</x:v>
      </x:c>
      <x:c r="D223" t="str">
        <x:v>Trésorerie</x:v>
      </x:c>
      <x:c r="E223" t="str">
        <x:v>Casablanca</x:v>
      </x:c>
      <x:c r="F223" s="14" t="n">
        <x:v>92875.78</x:v>
      </x:c>
      <x:c r="G223" t="n">
        <x:v>24</x:v>
      </x:c>
      <x:c r="H223" t="n">
        <x:v>7.19</x:v>
      </x:c>
      <x:c r="I223" t="n">
        <x:v>0</x:v>
      </x:c>
      <x:c r="J223" t="str">
        <x:v>À jour</x:v>
      </x:c>
      <x:c r="K223" s="16" t="n">
        <x:v>0.0066</x:v>
      </x:c>
      <x:c r="L223" s="16" t="n">
        <x:v>0.6</x:v>
      </x:c>
      <x:c r="M223" t="str">
        <x:v>A</x:v>
      </x:c>
      <x:c r="N223" s="14" t="n">
        <x:f>F223*K223*L223</x:f>
        <x:v>367.78808879999997</x:v>
      </x:c>
      <x:c r="O223" s="14" t="n">
        <x:f>F223*K223</x:f>
        <x:v>612.980148</x:v>
      </x:c>
    </x:row>
    <x:row r="224" ht="21" customHeight="1">
      <x:c r="A224" t="str">
        <x:v>CR-0220</x:v>
      </x:c>
      <x:c r="B224" t="str">
        <x:v>2023-04-10</x:v>
      </x:c>
      <x:c r="C224" t="str">
        <x:v>Particuliers</x:v>
      </x:c>
      <x:c r="D224" t="str">
        <x:v>Équipement</x:v>
      </x:c>
      <x:c r="E224" t="str">
        <x:v>Casablanca</x:v>
      </x:c>
      <x:c r="F224" s="14" t="n">
        <x:v>34128.21</x:v>
      </x:c>
      <x:c r="G224" t="n">
        <x:v>24</x:v>
      </x:c>
      <x:c r="H224" t="n">
        <x:v>9.96</x:v>
      </x:c>
      <x:c r="I224" t="n">
        <x:v>0</x:v>
      </x:c>
      <x:c r="J224" t="str">
        <x:v>À jour</x:v>
      </x:c>
      <x:c r="K224" s="16" t="n">
        <x:v>0.0341</x:v>
      </x:c>
      <x:c r="L224" s="16" t="n">
        <x:v>0.4</x:v>
      </x:c>
      <x:c r="M224" t="str">
        <x:v>B</x:v>
      </x:c>
      <x:c r="N224" s="14" t="n">
        <x:f>F224*K224*L224</x:f>
        <x:v>465.50878439999997</x:v>
      </x:c>
      <x:c r="O224" s="14" t="n">
        <x:f>F224*K224</x:f>
        <x:v>1163.771961</x:v>
      </x:c>
    </x:row>
    <x:row r="225" ht="21" customHeight="1">
      <x:c r="A225" t="str">
        <x:v>CR-0221</x:v>
      </x:c>
      <x:c r="B225" t="str">
        <x:v>2024-05-10</x:v>
      </x:c>
      <x:c r="C225" t="str">
        <x:v>Particuliers</x:v>
      </x:c>
      <x:c r="D225" t="str">
        <x:v>Consommation</x:v>
      </x:c>
      <x:c r="E225" t="str">
        <x:v>Marrakech</x:v>
      </x:c>
      <x:c r="F225" s="14" t="n">
        <x:v>88481.67</x:v>
      </x:c>
      <x:c r="G225" t="n">
        <x:v>60</x:v>
      </x:c>
      <x:c r="H225" t="n">
        <x:v>8.57</x:v>
      </x:c>
      <x:c r="I225" t="n">
        <x:v>0</x:v>
      </x:c>
      <x:c r="J225" t="str">
        <x:v>À jour</x:v>
      </x:c>
      <x:c r="K225" s="16" t="n">
        <x:v>0.0322</x:v>
      </x:c>
      <x:c r="L225" s="16" t="n">
        <x:v>0.7</x:v>
      </x:c>
      <x:c r="M225" t="str">
        <x:v>B</x:v>
      </x:c>
      <x:c r="N225" s="14" t="n">
        <x:f>F225*K225*L225</x:f>
        <x:v>1994.3768418</x:v>
      </x:c>
      <x:c r="O225" s="14" t="n">
        <x:f>F225*K225</x:f>
        <x:v>2849.109774</x:v>
      </x:c>
    </x:row>
    <x:row r="226" ht="21" customHeight="1">
      <x:c r="A226" t="str">
        <x:v>CR-0222</x:v>
      </x:c>
      <x:c r="B226" t="str">
        <x:v>2025-06-10</x:v>
      </x:c>
      <x:c r="C226" t="str">
        <x:v>PME</x:v>
      </x:c>
      <x:c r="D226" t="str">
        <x:v>Investissement</x:v>
      </x:c>
      <x:c r="E226" t="str">
        <x:v>Marrakech</x:v>
      </x:c>
      <x:c r="F226" s="14" t="n">
        <x:v>113647.62</x:v>
      </x:c>
      <x:c r="G226" t="n">
        <x:v>84</x:v>
      </x:c>
      <x:c r="H226" t="n">
        <x:v>6.23</x:v>
      </x:c>
      <x:c r="I226" t="n">
        <x:v>0</x:v>
      </x:c>
      <x:c r="J226" t="str">
        <x:v>À jour</x:v>
      </x:c>
      <x:c r="K226" s="16" t="n">
        <x:v>0.0413</x:v>
      </x:c>
      <x:c r="L226" s="16" t="n">
        <x:v>0.45</x:v>
      </x:c>
      <x:c r="M226" t="str">
        <x:v>B</x:v>
      </x:c>
      <x:c r="N226" s="14" t="n">
        <x:f>F226*K226*L226</x:f>
        <x:v>2112.1410177000002</x:v>
      </x:c>
      <x:c r="O226" s="14" t="n">
        <x:f>F226*K226</x:f>
        <x:v>4693.646706</x:v>
      </x:c>
    </x:row>
    <x:row r="227" ht="21" customHeight="1">
      <x:c r="A227" t="str">
        <x:v>CR-0223</x:v>
      </x:c>
      <x:c r="B227" t="str">
        <x:v>2023-07-10</x:v>
      </x:c>
      <x:c r="C227" t="str">
        <x:v>Particuliers</x:v>
      </x:c>
      <x:c r="D227" t="str">
        <x:v>Investissement</x:v>
      </x:c>
      <x:c r="E227" t="str">
        <x:v>Casablanca</x:v>
      </x:c>
      <x:c r="F227" s="14" t="n">
        <x:v>82930.86</x:v>
      </x:c>
      <x:c r="G227" t="n">
        <x:v>36</x:v>
      </x:c>
      <x:c r="H227" t="n">
        <x:v>4.46</x:v>
      </x:c>
      <x:c r="I227" t="n">
        <x:v>0</x:v>
      </x:c>
      <x:c r="J227" t="str">
        <x:v>À jour</x:v>
      </x:c>
      <x:c r="K227" s="16" t="n">
        <x:v>0.0474</x:v>
      </x:c>
      <x:c r="L227" s="16" t="n">
        <x:v>0.45</x:v>
      </x:c>
      <x:c r="M227" t="str">
        <x:v>B</x:v>
      </x:c>
      <x:c r="N227" s="14" t="n">
        <x:f>F227*K227*L227</x:f>
        <x:v>1768.9152438</x:v>
      </x:c>
      <x:c r="O227" s="14" t="n">
        <x:f>F227*K227</x:f>
        <x:v>3930.922764</x:v>
      </x:c>
    </x:row>
    <x:row r="228" ht="21" customHeight="1">
      <x:c r="A228" t="str">
        <x:v>CR-0224</x:v>
      </x:c>
      <x:c r="B228" t="str">
        <x:v>2024-08-10</x:v>
      </x:c>
      <x:c r="C228" t="str">
        <x:v>Particuliers</x:v>
      </x:c>
      <x:c r="D228" t="str">
        <x:v>Équipement</x:v>
      </x:c>
      <x:c r="E228" t="str">
        <x:v>Casablanca</x:v>
      </x:c>
      <x:c r="F228" s="14" t="n">
        <x:v>59701.29</x:v>
      </x:c>
      <x:c r="G228" t="n">
        <x:v>36</x:v>
      </x:c>
      <x:c r="H228" t="n">
        <x:v>8.47</x:v>
      </x:c>
      <x:c r="I228" t="n">
        <x:v>0</x:v>
      </x:c>
      <x:c r="J228" t="str">
        <x:v>À jour</x:v>
      </x:c>
      <x:c r="K228" s="16" t="n">
        <x:v>0.0294</x:v>
      </x:c>
      <x:c r="L228" s="16" t="n">
        <x:v>0.4</x:v>
      </x:c>
      <x:c r="M228" t="str">
        <x:v>B</x:v>
      </x:c>
      <x:c r="N228" s="14" t="n">
        <x:f>F228*K228*L228</x:f>
        <x:v>702.0871704000001</x:v>
      </x:c>
      <x:c r="O228" s="14" t="n">
        <x:f>F228*K228</x:f>
        <x:v>1755.217926</x:v>
      </x:c>
    </x:row>
    <x:row r="229" ht="21" customHeight="1">
      <x:c r="A229" t="str">
        <x:v>CR-0225</x:v>
      </x:c>
      <x:c r="B229" t="str">
        <x:v>2025-09-10</x:v>
      </x:c>
      <x:c r="C229" t="str">
        <x:v>PME</x:v>
      </x:c>
      <x:c r="D229" t="str">
        <x:v>Équipement</x:v>
      </x:c>
      <x:c r="E229" t="str">
        <x:v>Fès</x:v>
      </x:c>
      <x:c r="F229" s="14" t="n">
        <x:v>88207.16</x:v>
      </x:c>
      <x:c r="G229" t="n">
        <x:v>36</x:v>
      </x:c>
      <x:c r="H229" t="n">
        <x:v>5.39</x:v>
      </x:c>
      <x:c r="I229" t="n">
        <x:v>0</x:v>
      </x:c>
      <x:c r="J229" t="str">
        <x:v>À jour</x:v>
      </x:c>
      <x:c r="K229" s="16" t="n">
        <x:v>0.0254</x:v>
      </x:c>
      <x:c r="L229" s="16" t="n">
        <x:v>0.4</x:v>
      </x:c>
      <x:c r="M229" t="str">
        <x:v>B</x:v>
      </x:c>
      <x:c r="N229" s="14" t="n">
        <x:f>F229*K229*L229</x:f>
        <x:v>896.1847456</x:v>
      </x:c>
      <x:c r="O229" s="14" t="n">
        <x:f>F229*K229</x:f>
        <x:v>2240.461864</x:v>
      </x:c>
    </x:row>
    <x:row r="230" ht="21" customHeight="1">
      <x:c r="A230" t="str">
        <x:v>CR-0226</x:v>
      </x:c>
      <x:c r="B230" t="str">
        <x:v>2023-10-10</x:v>
      </x:c>
      <x:c r="C230" t="str">
        <x:v>TPE</x:v>
      </x:c>
      <x:c r="D230" t="str">
        <x:v>Habitat</x:v>
      </x:c>
      <x:c r="E230" t="str">
        <x:v>Marrakech</x:v>
      </x:c>
      <x:c r="F230" s="14" t="n">
        <x:v>85071.62</x:v>
      </x:c>
      <x:c r="G230" t="n">
        <x:v>84</x:v>
      </x:c>
      <x:c r="H230" t="n">
        <x:v>9.08</x:v>
      </x:c>
      <x:c r="I230" t="n">
        <x:v>0</x:v>
      </x:c>
      <x:c r="J230" t="str">
        <x:v>À jour</x:v>
      </x:c>
      <x:c r="K230" s="16" t="n">
        <x:v>0.0145</x:v>
      </x:c>
      <x:c r="L230" s="16" t="n">
        <x:v>0.2</x:v>
      </x:c>
      <x:c r="M230" t="str">
        <x:v>A</x:v>
      </x:c>
      <x:c r="N230" s="14" t="n">
        <x:f>F230*K230*L230</x:f>
        <x:v>246.707698</x:v>
      </x:c>
      <x:c r="O230" s="14" t="n">
        <x:f>F230*K230</x:f>
        <x:v>1233.53849</x:v>
      </x:c>
    </x:row>
    <x:row r="231" ht="21" customHeight="1">
      <x:c r="A231" t="str">
        <x:v>CR-0227</x:v>
      </x:c>
      <x:c r="B231" t="str">
        <x:v>2024-11-10</x:v>
      </x:c>
      <x:c r="C231" t="str">
        <x:v>PME</x:v>
      </x:c>
      <x:c r="D231" t="str">
        <x:v>Trésorerie</x:v>
      </x:c>
      <x:c r="E231" t="str">
        <x:v>Fès</x:v>
      </x:c>
      <x:c r="F231" s="14" t="n">
        <x:v>81397.27</x:v>
      </x:c>
      <x:c r="G231" t="n">
        <x:v>84</x:v>
      </x:c>
      <x:c r="H231" t="n">
        <x:v>10.07</x:v>
      </x:c>
      <x:c r="I231" t="n">
        <x:v>0</x:v>
      </x:c>
      <x:c r="J231" t="str">
        <x:v>À jour</x:v>
      </x:c>
      <x:c r="K231" s="16" t="n">
        <x:v>0.0627</x:v>
      </x:c>
      <x:c r="L231" s="16" t="n">
        <x:v>0.6</x:v>
      </x:c>
      <x:c r="M231" t="str">
        <x:v>C</x:v>
      </x:c>
      <x:c r="N231" s="14" t="n">
        <x:f>F231*K231*L231</x:f>
        <x:v>3062.1652974000003</x:v>
      </x:c>
      <x:c r="O231" s="14" t="n">
        <x:f>F231*K231</x:f>
        <x:v>5103.608829000001</x:v>
      </x:c>
    </x:row>
    <x:row r="232" ht="21" customHeight="1">
      <x:c r="A232" t="str">
        <x:v>CR-0228</x:v>
      </x:c>
      <x:c r="B232" t="str">
        <x:v>2025-12-10</x:v>
      </x:c>
      <x:c r="C232" t="str">
        <x:v>PME</x:v>
      </x:c>
      <x:c r="D232" t="str">
        <x:v>Équipement</x:v>
      </x:c>
      <x:c r="E232" t="str">
        <x:v>Fès</x:v>
      </x:c>
      <x:c r="F232" s="14" t="n">
        <x:v>38685.56</x:v>
      </x:c>
      <x:c r="G232" t="n">
        <x:v>48</x:v>
      </x:c>
      <x:c r="H232" t="n">
        <x:v>7.17</x:v>
      </x:c>
      <x:c r="I232" t="n">
        <x:v>0</x:v>
      </x:c>
      <x:c r="J232" t="str">
        <x:v>À jour</x:v>
      </x:c>
      <x:c r="K232" s="16" t="n">
        <x:v>0.04</x:v>
      </x:c>
      <x:c r="L232" s="16" t="n">
        <x:v>0.4</x:v>
      </x:c>
      <x:c r="M232" t="str">
        <x:v>B</x:v>
      </x:c>
      <x:c r="N232" s="14" t="n">
        <x:f>F232*K232*L232</x:f>
        <x:v>618.96896</x:v>
      </x:c>
      <x:c r="O232" s="14" t="n">
        <x:f>F232*K232</x:f>
        <x:v>1547.4224</x:v>
      </x:c>
    </x:row>
    <x:row r="233" ht="21" customHeight="1">
      <x:c r="A233" t="str">
        <x:v>CR-0229</x:v>
      </x:c>
      <x:c r="B233" t="str">
        <x:v>2023-01-10</x:v>
      </x:c>
      <x:c r="C233" t="str">
        <x:v>PME</x:v>
      </x:c>
      <x:c r="D233" t="str">
        <x:v>Investissement</x:v>
      </x:c>
      <x:c r="E233" t="str">
        <x:v>Rabat</x:v>
      </x:c>
      <x:c r="F233" s="14" t="n">
        <x:v>41536.14</x:v>
      </x:c>
      <x:c r="G233" t="n">
        <x:v>84</x:v>
      </x:c>
      <x:c r="H233" t="n">
        <x:v>4.3</x:v>
      </x:c>
      <x:c r="I233" t="n">
        <x:v>0</x:v>
      </x:c>
      <x:c r="J233" t="str">
        <x:v>À jour</x:v>
      </x:c>
      <x:c r="K233" s="16" t="n">
        <x:v>0.0239</x:v>
      </x:c>
      <x:c r="L233" s="16" t="n">
        <x:v>0.45</x:v>
      </x:c>
      <x:c r="M233" t="str">
        <x:v>B</x:v>
      </x:c>
      <x:c r="N233" s="14" t="n">
        <x:f>F233*K233*L233</x:f>
        <x:v>446.72118570000004</x:v>
      </x:c>
      <x:c r="O233" s="14" t="n">
        <x:f>F233*K233</x:f>
        <x:v>992.713746</x:v>
      </x:c>
    </x:row>
    <x:row r="234" ht="21" customHeight="1">
      <x:c r="A234" t="str">
        <x:v>CR-0230</x:v>
      </x:c>
      <x:c r="B234" t="str">
        <x:v>2024-02-10</x:v>
      </x:c>
      <x:c r="C234" t="str">
        <x:v>TPE</x:v>
      </x:c>
      <x:c r="D234" t="str">
        <x:v>Équipement</x:v>
      </x:c>
      <x:c r="E234" t="str">
        <x:v>Tanger</x:v>
      </x:c>
      <x:c r="F234" s="14" t="n">
        <x:v>82718.87</x:v>
      </x:c>
      <x:c r="G234" t="n">
        <x:v>60</x:v>
      </x:c>
      <x:c r="H234" t="n">
        <x:v>4.67</x:v>
      </x:c>
      <x:c r="I234" t="n">
        <x:v>0</x:v>
      </x:c>
      <x:c r="J234" t="str">
        <x:v>À jour</x:v>
      </x:c>
      <x:c r="K234" s="16" t="n">
        <x:v>0.0085</x:v>
      </x:c>
      <x:c r="L234" s="16" t="n">
        <x:v>0.4</x:v>
      </x:c>
      <x:c r="M234" t="str">
        <x:v>A</x:v>
      </x:c>
      <x:c r="N234" s="14" t="n">
        <x:f>F234*K234*L234</x:f>
        <x:v>281.244158</x:v>
      </x:c>
      <x:c r="O234" s="14" t="n">
        <x:f>F234*K234</x:f>
        <x:v>703.110395</x:v>
      </x:c>
    </x:row>
    <x:row r="235" ht="21" customHeight="1">
      <x:c r="A235" t="str">
        <x:v>CR-0231</x:v>
      </x:c>
      <x:c r="B235" t="str">
        <x:v>2025-03-10</x:v>
      </x:c>
      <x:c r="C235" t="str">
        <x:v>PME</x:v>
      </x:c>
      <x:c r="D235" t="str">
        <x:v>Investissement</x:v>
      </x:c>
      <x:c r="E235" t="str">
        <x:v>Tanger</x:v>
      </x:c>
      <x:c r="F235" s="14" t="n">
        <x:v>51656.64</x:v>
      </x:c>
      <x:c r="G235" t="n">
        <x:v>24</x:v>
      </x:c>
      <x:c r="H235" t="n">
        <x:v>9.21</x:v>
      </x:c>
      <x:c r="I235" t="n">
        <x:v>0</x:v>
      </x:c>
      <x:c r="J235" t="str">
        <x:v>À jour</x:v>
      </x:c>
      <x:c r="K235" s="16" t="n">
        <x:v>0.0268</x:v>
      </x:c>
      <x:c r="L235" s="16" t="n">
        <x:v>0.45</x:v>
      </x:c>
      <x:c r="M235" t="str">
        <x:v>B</x:v>
      </x:c>
      <x:c r="N235" s="14" t="n">
        <x:f>F235*K235*L235</x:f>
        <x:v>622.9790784</x:v>
      </x:c>
      <x:c r="O235" s="14" t="n">
        <x:f>F235*K235</x:f>
        <x:v>1384.397952</x:v>
      </x:c>
    </x:row>
    <x:row r="236" ht="21" customHeight="1">
      <x:c r="A236" t="str">
        <x:v>CR-0232</x:v>
      </x:c>
      <x:c r="B236" t="str">
        <x:v>2023-04-10</x:v>
      </x:c>
      <x:c r="C236" t="str">
        <x:v>TPE</x:v>
      </x:c>
      <x:c r="D236" t="str">
        <x:v>Trésorerie</x:v>
      </x:c>
      <x:c r="E236" t="str">
        <x:v>Tanger</x:v>
      </x:c>
      <x:c r="F236" s="14" t="n">
        <x:v>77208.52</x:v>
      </x:c>
      <x:c r="G236" t="n">
        <x:v>84</x:v>
      </x:c>
      <x:c r="H236" t="n">
        <x:v>6.81</x:v>
      </x:c>
      <x:c r="I236" t="n">
        <x:v>0</x:v>
      </x:c>
      <x:c r="J236" t="str">
        <x:v>À jour</x:v>
      </x:c>
      <x:c r="K236" s="16" t="n">
        <x:v>0.036</x:v>
      </x:c>
      <x:c r="L236" s="16" t="n">
        <x:v>0.6</x:v>
      </x:c>
      <x:c r="M236" t="str">
        <x:v>B</x:v>
      </x:c>
      <x:c r="N236" s="14" t="n">
        <x:f>F236*K236*L236</x:f>
        <x:v>1667.7040319999999</x:v>
      </x:c>
      <x:c r="O236" s="14" t="n">
        <x:f>F236*K236</x:f>
        <x:v>2779.50672</x:v>
      </x:c>
    </x:row>
    <x:row r="237" ht="21" customHeight="1">
      <x:c r="A237" t="str">
        <x:v>CR-0233</x:v>
      </x:c>
      <x:c r="B237" t="str">
        <x:v>2024-05-10</x:v>
      </x:c>
      <x:c r="C237" t="str">
        <x:v>TPE</x:v>
      </x:c>
      <x:c r="D237" t="str">
        <x:v>Habitat</x:v>
      </x:c>
      <x:c r="E237" t="str">
        <x:v>Casablanca</x:v>
      </x:c>
      <x:c r="F237" s="14" t="n">
        <x:v>110741.27</x:v>
      </x:c>
      <x:c r="G237" t="n">
        <x:v>84</x:v>
      </x:c>
      <x:c r="H237" t="n">
        <x:v>4.54</x:v>
      </x:c>
      <x:c r="I237" t="n">
        <x:v>0</x:v>
      </x:c>
      <x:c r="J237" t="str">
        <x:v>À jour</x:v>
      </x:c>
      <x:c r="K237" s="16" t="n">
        <x:v>0.0546</x:v>
      </x:c>
      <x:c r="L237" s="16" t="n">
        <x:v>0.2</x:v>
      </x:c>
      <x:c r="M237" t="str">
        <x:v>C</x:v>
      </x:c>
      <x:c r="N237" s="14" t="n">
        <x:f>F237*K237*L237</x:f>
        <x:v>1209.2946684</x:v>
      </x:c>
      <x:c r="O237" s="14" t="n">
        <x:f>F237*K237</x:f>
        <x:v>6046.473342</x:v>
      </x:c>
    </x:row>
    <x:row r="238" ht="21" customHeight="1">
      <x:c r="A238" t="str">
        <x:v>CR-0234</x:v>
      </x:c>
      <x:c r="B238" t="str">
        <x:v>2025-06-10</x:v>
      </x:c>
      <x:c r="C238" t="str">
        <x:v>Particuliers</x:v>
      </x:c>
      <x:c r="D238" t="str">
        <x:v>Consommation</x:v>
      </x:c>
      <x:c r="E238" t="str">
        <x:v>Casablanca</x:v>
      </x:c>
      <x:c r="F238" s="14" t="n">
        <x:v>101254.77</x:v>
      </x:c>
      <x:c r="G238" t="n">
        <x:v>84</x:v>
      </x:c>
      <x:c r="H238" t="n">
        <x:v>4.83</x:v>
      </x:c>
      <x:c r="I238" t="n">
        <x:v>0</x:v>
      </x:c>
      <x:c r="J238" t="str">
        <x:v>À jour</x:v>
      </x:c>
      <x:c r="K238" s="16" t="n">
        <x:v>0.0131</x:v>
      </x:c>
      <x:c r="L238" s="16" t="n">
        <x:v>0.7</x:v>
      </x:c>
      <x:c r="M238" t="str">
        <x:v>A</x:v>
      </x:c>
      <x:c r="N238" s="14" t="n">
        <x:f>F238*K238*L238</x:f>
        <x:v>928.5062409000001</x:v>
      </x:c>
      <x:c r="O238" s="14" t="n">
        <x:f>F238*K238</x:f>
        <x:v>1326.4374870000001</x:v>
      </x:c>
    </x:row>
    <x:row r="239" ht="21" customHeight="1">
      <x:c r="A239" t="str">
        <x:v>CR-0235</x:v>
      </x:c>
      <x:c r="B239" t="str">
        <x:v>2023-07-10</x:v>
      </x:c>
      <x:c r="C239" t="str">
        <x:v>TPE</x:v>
      </x:c>
      <x:c r="D239" t="str">
        <x:v>Habitat</x:v>
      </x:c>
      <x:c r="E239" t="str">
        <x:v>Tanger</x:v>
      </x:c>
      <x:c r="F239" s="14" t="n">
        <x:v>54342.18</x:v>
      </x:c>
      <x:c r="G239" t="n">
        <x:v>36</x:v>
      </x:c>
      <x:c r="H239" t="n">
        <x:v>9.68</x:v>
      </x:c>
      <x:c r="I239" t="n">
        <x:v>0</x:v>
      </x:c>
      <x:c r="J239" t="str">
        <x:v>À jour</x:v>
      </x:c>
      <x:c r="K239" s="16" t="n">
        <x:v>0.0444</x:v>
      </x:c>
      <x:c r="L239" s="16" t="n">
        <x:v>0.2</x:v>
      </x:c>
      <x:c r="M239" t="str">
        <x:v>B</x:v>
      </x:c>
      <x:c r="N239" s="14" t="n">
        <x:f>F239*K239*L239</x:f>
        <x:v>482.55855840000004</x:v>
      </x:c>
      <x:c r="O239" s="14" t="n">
        <x:f>F239*K239</x:f>
        <x:v>2412.792792</x:v>
      </x:c>
    </x:row>
    <x:row r="240" ht="21" customHeight="1">
      <x:c r="A240" t="str">
        <x:v>CR-0236</x:v>
      </x:c>
      <x:c r="B240" t="str">
        <x:v>2024-08-10</x:v>
      </x:c>
      <x:c r="C240" t="str">
        <x:v>TPE</x:v>
      </x:c>
      <x:c r="D240" t="str">
        <x:v>Investissement</x:v>
      </x:c>
      <x:c r="E240" t="str">
        <x:v>Rabat</x:v>
      </x:c>
      <x:c r="F240" s="14" t="n">
        <x:v>70194.38</x:v>
      </x:c>
      <x:c r="G240" t="n">
        <x:v>48</x:v>
      </x:c>
      <x:c r="H240" t="n">
        <x:v>4.51</x:v>
      </x:c>
      <x:c r="I240" t="n">
        <x:v>0</x:v>
      </x:c>
      <x:c r="J240" t="str">
        <x:v>À jour</x:v>
      </x:c>
      <x:c r="K240" s="16" t="n">
        <x:v>0.0458</x:v>
      </x:c>
      <x:c r="L240" s="16" t="n">
        <x:v>0.45</x:v>
      </x:c>
      <x:c r="M240" t="str">
        <x:v>B</x:v>
      </x:c>
      <x:c r="N240" s="14" t="n">
        <x:f>F240*K240*L240</x:f>
        <x:v>1446.7061718000002</x:v>
      </x:c>
      <x:c r="O240" s="14" t="n">
        <x:f>F240*K240</x:f>
        <x:v>3214.9026040000003</x:v>
      </x:c>
    </x:row>
    <x:row r="241" ht="21" customHeight="1">
      <x:c r="A241" t="str">
        <x:v>CR-0237</x:v>
      </x:c>
      <x:c r="B241" t="str">
        <x:v>2025-09-10</x:v>
      </x:c>
      <x:c r="C241" t="str">
        <x:v>PME</x:v>
      </x:c>
      <x:c r="D241" t="str">
        <x:v>Investissement</x:v>
      </x:c>
      <x:c r="E241" t="str">
        <x:v>Tanger</x:v>
      </x:c>
      <x:c r="F241" s="14" t="n">
        <x:v>79564.91</x:v>
      </x:c>
      <x:c r="G241" t="n">
        <x:v>60</x:v>
      </x:c>
      <x:c r="H241" t="n">
        <x:v>9.76</x:v>
      </x:c>
      <x:c r="I241" t="n">
        <x:v>0</x:v>
      </x:c>
      <x:c r="J241" t="str">
        <x:v>À jour</x:v>
      </x:c>
      <x:c r="K241" s="16" t="n">
        <x:v>0.0322</x:v>
      </x:c>
      <x:c r="L241" s="16" t="n">
        <x:v>0.45</x:v>
      </x:c>
      <x:c r="M241" t="str">
        <x:v>B</x:v>
      </x:c>
      <x:c r="N241" s="14" t="n">
        <x:f>F241*K241*L241</x:f>
        <x:v>1152.8955459000001</x:v>
      </x:c>
      <x:c r="O241" s="14" t="n">
        <x:f>F241*K241</x:f>
        <x:v>2561.990102</x:v>
      </x:c>
    </x:row>
    <x:row r="242" ht="21" customHeight="1">
      <x:c r="A242" t="str">
        <x:v>CR-0238</x:v>
      </x:c>
      <x:c r="B242" t="str">
        <x:v>2023-10-10</x:v>
      </x:c>
      <x:c r="C242" t="str">
        <x:v>Particuliers</x:v>
      </x:c>
      <x:c r="D242" t="str">
        <x:v>Consommation</x:v>
      </x:c>
      <x:c r="E242" t="str">
        <x:v>Fès</x:v>
      </x:c>
      <x:c r="F242" s="14" t="n">
        <x:v>55958.32</x:v>
      </x:c>
      <x:c r="G242" t="n">
        <x:v>48</x:v>
      </x:c>
      <x:c r="H242" t="n">
        <x:v>9.54</x:v>
      </x:c>
      <x:c r="I242" t="n">
        <x:v>0</x:v>
      </x:c>
      <x:c r="J242" t="str">
        <x:v>À jour</x:v>
      </x:c>
      <x:c r="K242" s="16" t="n">
        <x:v>0.0481</x:v>
      </x:c>
      <x:c r="L242" s="16" t="n">
        <x:v>0.7</x:v>
      </x:c>
      <x:c r="M242" t="str">
        <x:v>B</x:v>
      </x:c>
      <x:c r="N242" s="14" t="n">
        <x:f>F242*K242*L242</x:f>
        <x:v>1884.1166343999996</x:v>
      </x:c>
      <x:c r="O242" s="14" t="n">
        <x:f>F242*K242</x:f>
        <x:v>2691.5951919999998</x:v>
      </x:c>
    </x:row>
    <x:row r="243" ht="21" customHeight="1">
      <x:c r="A243" t="str">
        <x:v>CR-0239</x:v>
      </x:c>
      <x:c r="B243" t="str">
        <x:v>2024-11-10</x:v>
      </x:c>
      <x:c r="C243" t="str">
        <x:v>Particuliers</x:v>
      </x:c>
      <x:c r="D243" t="str">
        <x:v>Trésorerie</x:v>
      </x:c>
      <x:c r="E243" t="str">
        <x:v>Casablanca</x:v>
      </x:c>
      <x:c r="F243" s="14" t="n">
        <x:v>72581.76</x:v>
      </x:c>
      <x:c r="G243" t="n">
        <x:v>60</x:v>
      </x:c>
      <x:c r="H243" t="n">
        <x:v>3.9</x:v>
      </x:c>
      <x:c r="I243" t="n">
        <x:v>0</x:v>
      </x:c>
      <x:c r="J243" t="str">
        <x:v>À jour</x:v>
      </x:c>
      <x:c r="K243" s="16" t="n">
        <x:v>0.0588</x:v>
      </x:c>
      <x:c r="L243" s="16" t="n">
        <x:v>0.6</x:v>
      </x:c>
      <x:c r="M243" t="str">
        <x:v>C</x:v>
      </x:c>
      <x:c r="N243" s="14" t="n">
        <x:f>F243*K243*L243</x:f>
        <x:v>2560.6844927999996</x:v>
      </x:c>
      <x:c r="O243" s="14" t="n">
        <x:f>F243*K243</x:f>
        <x:v>4267.8074879999995</x:v>
      </x:c>
    </x:row>
    <x:row r="244" ht="21" customHeight="1">
      <x:c r="A244" t="str">
        <x:v>CR-0240</x:v>
      </x:c>
      <x:c r="B244" t="str">
        <x:v>2025-12-10</x:v>
      </x:c>
      <x:c r="C244" t="str">
        <x:v>Particuliers</x:v>
      </x:c>
      <x:c r="D244" t="str">
        <x:v>Consommation</x:v>
      </x:c>
      <x:c r="E244" t="str">
        <x:v>Rabat</x:v>
      </x:c>
      <x:c r="F244" s="14" t="n">
        <x:v>74102.58</x:v>
      </x:c>
      <x:c r="G244" t="n">
        <x:v>120</x:v>
      </x:c>
      <x:c r="H244" t="n">
        <x:v>8.23</x:v>
      </x:c>
      <x:c r="I244" t="n">
        <x:v>0</x:v>
      </x:c>
      <x:c r="J244" t="str">
        <x:v>À jour</x:v>
      </x:c>
      <x:c r="K244" s="16" t="n">
        <x:v>0.0333</x:v>
      </x:c>
      <x:c r="L244" s="16" t="n">
        <x:v>0.7</x:v>
      </x:c>
      <x:c r="M244" t="str">
        <x:v>B</x:v>
      </x:c>
      <x:c r="N244" s="14" t="n">
        <x:f>F244*K244*L244</x:f>
        <x:v>1727.3311398000003</x:v>
      </x:c>
      <x:c r="O244" s="14" t="n">
        <x:f>F244*K244</x:f>
        <x:v>2467.6159140000004</x:v>
      </x:c>
    </x:row>
    <x:row r="245" ht="21" customHeight="1">
      <x:c r="A245" t="str">
        <x:v>CR-0241</x:v>
      </x:c>
      <x:c r="B245" t="str">
        <x:v>2023-01-10</x:v>
      </x:c>
      <x:c r="C245" t="str">
        <x:v>TPE</x:v>
      </x:c>
      <x:c r="D245" t="str">
        <x:v>Consommation</x:v>
      </x:c>
      <x:c r="E245" t="str">
        <x:v>Tanger</x:v>
      </x:c>
      <x:c r="F245" s="14" t="n">
        <x:v>73274.18</x:v>
      </x:c>
      <x:c r="G245" t="n">
        <x:v>36</x:v>
      </x:c>
      <x:c r="H245" t="n">
        <x:v>9.34</x:v>
      </x:c>
      <x:c r="I245" t="n">
        <x:v>0</x:v>
      </x:c>
      <x:c r="J245" t="str">
        <x:v>À jour</x:v>
      </x:c>
      <x:c r="K245" s="16" t="n">
        <x:v>0.0274</x:v>
      </x:c>
      <x:c r="L245" s="16" t="n">
        <x:v>0.7</x:v>
      </x:c>
      <x:c r="M245" t="str">
        <x:v>B</x:v>
      </x:c>
      <x:c r="N245" s="14" t="n">
        <x:f>F245*K245*L245</x:f>
        <x:v>1405.3987723999999</x:v>
      </x:c>
      <x:c r="O245" s="14" t="n">
        <x:f>F245*K245</x:f>
        <x:v>2007.7125319999998</x:v>
      </x:c>
    </x:row>
    <x:row r="246" ht="21" customHeight="1">
      <x:c r="A246" t="str">
        <x:v>CR-0242</x:v>
      </x:c>
      <x:c r="B246" t="str">
        <x:v>2024-02-10</x:v>
      </x:c>
      <x:c r="C246" t="str">
        <x:v>PME</x:v>
      </x:c>
      <x:c r="D246" t="str">
        <x:v>Équipement</x:v>
      </x:c>
      <x:c r="E246" t="str">
        <x:v>Marrakech</x:v>
      </x:c>
      <x:c r="F246" s="14" t="n">
        <x:v>77026.28</x:v>
      </x:c>
      <x:c r="G246" t="n">
        <x:v>120</x:v>
      </x:c>
      <x:c r="H246" t="n">
        <x:v>3.92</x:v>
      </x:c>
      <x:c r="I246" t="n">
        <x:v>0</x:v>
      </x:c>
      <x:c r="J246" t="str">
        <x:v>À jour</x:v>
      </x:c>
      <x:c r="K246" s="16" t="n">
        <x:v>0.0344</x:v>
      </x:c>
      <x:c r="L246" s="16" t="n">
        <x:v>0.4</x:v>
      </x:c>
      <x:c r="M246" t="str">
        <x:v>B</x:v>
      </x:c>
      <x:c r="N246" s="14" t="n">
        <x:f>F246*K246*L246</x:f>
        <x:v>1059.8816128</x:v>
      </x:c>
      <x:c r="O246" s="14" t="n">
        <x:f>F246*K246</x:f>
        <x:v>2649.704032</x:v>
      </x:c>
    </x:row>
    <x:row r="247" ht="21" customHeight="1">
      <x:c r="A247" t="str">
        <x:v>CR-0243</x:v>
      </x:c>
      <x:c r="B247" t="str">
        <x:v>2025-03-10</x:v>
      </x:c>
      <x:c r="C247" t="str">
        <x:v>PME</x:v>
      </x:c>
      <x:c r="D247" t="str">
        <x:v>Équipement</x:v>
      </x:c>
      <x:c r="E247" t="str">
        <x:v>Marrakech</x:v>
      </x:c>
      <x:c r="F247" s="14" t="n">
        <x:v>35830.5</x:v>
      </x:c>
      <x:c r="G247" t="n">
        <x:v>84</x:v>
      </x:c>
      <x:c r="H247" t="n">
        <x:v>4.38</x:v>
      </x:c>
      <x:c r="I247" t="n">
        <x:v>0</x:v>
      </x:c>
      <x:c r="J247" t="str">
        <x:v>À jour</x:v>
      </x:c>
      <x:c r="K247" s="16" t="n">
        <x:v>0.0281</x:v>
      </x:c>
      <x:c r="L247" s="16" t="n">
        <x:v>0.4</x:v>
      </x:c>
      <x:c r="M247" t="str">
        <x:v>B</x:v>
      </x:c>
      <x:c r="N247" s="14" t="n">
        <x:f>F247*K247*L247</x:f>
        <x:v>402.73482</x:v>
      </x:c>
      <x:c r="O247" s="14" t="n">
        <x:f>F247*K247</x:f>
        <x:v>1006.83705</x:v>
      </x:c>
    </x:row>
    <x:row r="248" ht="21" customHeight="1">
      <x:c r="A248" t="str">
        <x:v>CR-0244</x:v>
      </x:c>
      <x:c r="B248" t="str">
        <x:v>2023-04-10</x:v>
      </x:c>
      <x:c r="C248" t="str">
        <x:v>Particuliers</x:v>
      </x:c>
      <x:c r="D248" t="str">
        <x:v>Consommation</x:v>
      </x:c>
      <x:c r="E248" t="str">
        <x:v>Fès</x:v>
      </x:c>
      <x:c r="F248" s="14" t="n">
        <x:v>110201.06</x:v>
      </x:c>
      <x:c r="G248" t="n">
        <x:v>24</x:v>
      </x:c>
      <x:c r="H248" t="n">
        <x:v>6.85</x:v>
      </x:c>
      <x:c r="I248" t="n">
        <x:v>0</x:v>
      </x:c>
      <x:c r="J248" t="str">
        <x:v>À jour</x:v>
      </x:c>
      <x:c r="K248" s="16" t="n">
        <x:v>0.056</x:v>
      </x:c>
      <x:c r="L248" s="16" t="n">
        <x:v>0.7</x:v>
      </x:c>
      <x:c r="M248" t="str">
        <x:v>C</x:v>
      </x:c>
      <x:c r="N248" s="14" t="n">
        <x:f>F248*K248*L248</x:f>
        <x:v>4319.881552</x:v>
      </x:c>
      <x:c r="O248" s="14" t="n">
        <x:f>F248*K248</x:f>
        <x:v>6171.25936</x:v>
      </x:c>
    </x:row>
    <x:row r="249" ht="21" customHeight="1">
      <x:c r="A249" t="str">
        <x:v>CR-0245</x:v>
      </x:c>
      <x:c r="B249" t="str">
        <x:v>2024-05-10</x:v>
      </x:c>
      <x:c r="C249" t="str">
        <x:v>TPE</x:v>
      </x:c>
      <x:c r="D249" t="str">
        <x:v>Investissement</x:v>
      </x:c>
      <x:c r="E249" t="str">
        <x:v>Tanger</x:v>
      </x:c>
      <x:c r="F249" s="14" t="n">
        <x:v>111045.55</x:v>
      </x:c>
      <x:c r="G249" t="n">
        <x:v>60</x:v>
      </x:c>
      <x:c r="H249" t="n">
        <x:v>9.03</x:v>
      </x:c>
      <x:c r="I249" t="n">
        <x:v>0</x:v>
      </x:c>
      <x:c r="J249" t="str">
        <x:v>À jour</x:v>
      </x:c>
      <x:c r="K249" s="16" t="n">
        <x:v>0.0392</x:v>
      </x:c>
      <x:c r="L249" s="16" t="n">
        <x:v>0.45</x:v>
      </x:c>
      <x:c r="M249" t="str">
        <x:v>B</x:v>
      </x:c>
      <x:c r="N249" s="14" t="n">
        <x:f>F249*K249*L249</x:f>
        <x:v>1958.8435020000002</x:v>
      </x:c>
      <x:c r="O249" s="14" t="n">
        <x:f>F249*K249</x:f>
        <x:v>4352.98556</x:v>
      </x:c>
    </x:row>
    <x:row r="250" ht="21" customHeight="1">
      <x:c r="A250" t="str">
        <x:v>CR-0246</x:v>
      </x:c>
      <x:c r="B250" t="str">
        <x:v>2025-06-10</x:v>
      </x:c>
      <x:c r="C250" t="str">
        <x:v>PME</x:v>
      </x:c>
      <x:c r="D250" t="str">
        <x:v>Équipement</x:v>
      </x:c>
      <x:c r="E250" t="str">
        <x:v>Fès</x:v>
      </x:c>
      <x:c r="F250" s="14" t="n">
        <x:v>65232.79</x:v>
      </x:c>
      <x:c r="G250" t="n">
        <x:v>84</x:v>
      </x:c>
      <x:c r="H250" t="n">
        <x:v>5.47</x:v>
      </x:c>
      <x:c r="I250" t="n">
        <x:v>0</x:v>
      </x:c>
      <x:c r="J250" t="str">
        <x:v>À jour</x:v>
      </x:c>
      <x:c r="K250" s="16" t="n">
        <x:v>0.0452</x:v>
      </x:c>
      <x:c r="L250" s="16" t="n">
        <x:v>0.4</x:v>
      </x:c>
      <x:c r="M250" t="str">
        <x:v>B</x:v>
      </x:c>
      <x:c r="N250" s="14" t="n">
        <x:f>F250*K250*L250</x:f>
        <x:v>1179.4088431999999</x:v>
      </x:c>
      <x:c r="O250" s="14" t="n">
        <x:f>F250*K250</x:f>
        <x:v>2948.5221079999997</x:v>
      </x:c>
    </x:row>
    <x:row r="251" ht="21" customHeight="1">
      <x:c r="A251" t="str">
        <x:v>CR-0247</x:v>
      </x:c>
      <x:c r="B251" t="str">
        <x:v>2023-07-10</x:v>
      </x:c>
      <x:c r="C251" t="str">
        <x:v>Particuliers</x:v>
      </x:c>
      <x:c r="D251" t="str">
        <x:v>Investissement</x:v>
      </x:c>
      <x:c r="E251" t="str">
        <x:v>Fès</x:v>
      </x:c>
      <x:c r="F251" s="14" t="n">
        <x:v>56986.66</x:v>
      </x:c>
      <x:c r="G251" t="n">
        <x:v>36</x:v>
      </x:c>
      <x:c r="H251" t="n">
        <x:v>9.48</x:v>
      </x:c>
      <x:c r="I251" t="n">
        <x:v>0</x:v>
      </x:c>
      <x:c r="J251" t="str">
        <x:v>À jour</x:v>
      </x:c>
      <x:c r="K251" s="16" t="n">
        <x:v>0.0533</x:v>
      </x:c>
      <x:c r="L251" s="16" t="n">
        <x:v>0.45</x:v>
      </x:c>
      <x:c r="M251" t="str">
        <x:v>C</x:v>
      </x:c>
      <x:c r="N251" s="14" t="n">
        <x:f>F251*K251*L251</x:f>
        <x:v>1366.8250401000003</x:v>
      </x:c>
      <x:c r="O251" s="14" t="n">
        <x:f>F251*K251</x:f>
        <x:v>3037.3889780000004</x:v>
      </x:c>
    </x:row>
    <x:row r="252" ht="21" customHeight="1">
      <x:c r="A252" t="str">
        <x:v>CR-0248</x:v>
      </x:c>
      <x:c r="B252" t="str">
        <x:v>2024-08-10</x:v>
      </x:c>
      <x:c r="C252" t="str">
        <x:v>Particuliers</x:v>
      </x:c>
      <x:c r="D252" t="str">
        <x:v>Investissement</x:v>
      </x:c>
      <x:c r="E252" t="str">
        <x:v>Tanger</x:v>
      </x:c>
      <x:c r="F252" s="14" t="n">
        <x:v>94034.94</x:v>
      </x:c>
      <x:c r="G252" t="n">
        <x:v>24</x:v>
      </x:c>
      <x:c r="H252" t="n">
        <x:v>8.04</x:v>
      </x:c>
      <x:c r="I252" t="n">
        <x:v>0</x:v>
      </x:c>
      <x:c r="J252" t="str">
        <x:v>À jour</x:v>
      </x:c>
      <x:c r="K252" s="16" t="n">
        <x:v>0.0094</x:v>
      </x:c>
      <x:c r="L252" s="16" t="n">
        <x:v>0.45</x:v>
      </x:c>
      <x:c r="M252" t="str">
        <x:v>A</x:v>
      </x:c>
      <x:c r="N252" s="14" t="n">
        <x:f>F252*K252*L252</x:f>
        <x:v>397.7677962</x:v>
      </x:c>
      <x:c r="O252" s="14" t="n">
        <x:f>F252*K252</x:f>
        <x:v>883.928436</x:v>
      </x:c>
    </x:row>
    <x:row r="253" ht="21" customHeight="1">
      <x:c r="A253" t="str">
        <x:v>CR-0249</x:v>
      </x:c>
      <x:c r="B253" t="str">
        <x:v>2025-09-10</x:v>
      </x:c>
      <x:c r="C253" t="str">
        <x:v>PME</x:v>
      </x:c>
      <x:c r="D253" t="str">
        <x:v>Habitat</x:v>
      </x:c>
      <x:c r="E253" t="str">
        <x:v>Casablanca</x:v>
      </x:c>
      <x:c r="F253" s="14" t="n">
        <x:v>55513.63</x:v>
      </x:c>
      <x:c r="G253" t="n">
        <x:v>60</x:v>
      </x:c>
      <x:c r="H253" t="n">
        <x:v>4.24</x:v>
      </x:c>
      <x:c r="I253" t="n">
        <x:v>0</x:v>
      </x:c>
      <x:c r="J253" t="str">
        <x:v>À jour</x:v>
      </x:c>
      <x:c r="K253" s="16" t="n">
        <x:v>0.0419</x:v>
      </x:c>
      <x:c r="L253" s="16" t="n">
        <x:v>0.2</x:v>
      </x:c>
      <x:c r="M253" t="str">
        <x:v>B</x:v>
      </x:c>
      <x:c r="N253" s="14" t="n">
        <x:f>F253*K253*L253</x:f>
        <x:v>465.2042194</x:v>
      </x:c>
      <x:c r="O253" s="14" t="n">
        <x:f>F253*K253</x:f>
        <x:v>2326.021097</x:v>
      </x:c>
    </x:row>
    <x:row r="254" ht="21" customHeight="1">
      <x:c r="A254" t="str">
        <x:v>CR-0250</x:v>
      </x:c>
      <x:c r="B254" t="str">
        <x:v>2023-10-10</x:v>
      </x:c>
      <x:c r="C254" t="str">
        <x:v>Particuliers</x:v>
      </x:c>
      <x:c r="D254" t="str">
        <x:v>Investissement</x:v>
      </x:c>
      <x:c r="E254" t="str">
        <x:v>Rabat</x:v>
      </x:c>
      <x:c r="F254" s="14" t="n">
        <x:v>29300.98</x:v>
      </x:c>
      <x:c r="G254" t="n">
        <x:v>60</x:v>
      </x:c>
      <x:c r="H254" t="n">
        <x:v>4.44</x:v>
      </x:c>
      <x:c r="I254" t="n">
        <x:v>0</x:v>
      </x:c>
      <x:c r="J254" t="str">
        <x:v>À jour</x:v>
      </x:c>
      <x:c r="K254" s="16" t="n">
        <x:v>0.0474</x:v>
      </x:c>
      <x:c r="L254" s="16" t="n">
        <x:v>0.45</x:v>
      </x:c>
      <x:c r="M254" t="str">
        <x:v>B</x:v>
      </x:c>
      <x:c r="N254" s="14" t="n">
        <x:f>F254*K254*L254</x:f>
        <x:v>624.9899034</x:v>
      </x:c>
      <x:c r="O254" s="14" t="n">
        <x:f>F254*K254</x:f>
        <x:v>1388.866452</x:v>
      </x:c>
    </x:row>
  </x:sheetData>
  <x:mergeCells>
    <x:mergeCell ref="A1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 ht="30" customHeight="1">
      <x:c r="A1" s="4" t="str">
        <x:v>ANALYSE PAR SEGMENT ET RÉGION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Segment</x:v>
      </x:c>
      <x:c r="B4" s="9" t="str">
        <x:v>Encours (MAD)</x:v>
      </x:c>
      <x:c r="C4" s="9" t="str">
        <x:v>Crédits</x:v>
      </x:c>
      <x:c r="D4" s="9" t="str">
        <x:v>Impayés</x:v>
      </x:c>
      <x:c r="E4" s="9" t="str">
        <x:v>Taux impayés</x:v>
      </x:c>
    </x:row>
    <x:row r="5">
      <x:c r="A5" t="str">
        <x:v>Particuliers</x:v>
      </x:c>
      <x:c r="B5" s="14" t="n">
        <x:f>SUMIF(PORTEFEUILLE!$C$5:$C$254,A5,PORTEFEUILLE!$F$5:$F$254)</x:f>
        <x:v>8518818.520000001</x:v>
      </x:c>
      <x:c r="C5" t="n">
        <x:f>COUNTIF(PORTEFEUILLE!$C$5:$C$254,A5)</x:f>
        <x:v>120</x:v>
      </x:c>
      <x:c r="D5" t="n">
        <x:f>COUNTIFS(PORTEFEUILLE!$C$5:$C$254,A5,PORTEFEUILLE!$J$5:$J$254,"Impayé")</x:f>
        <x:v>2</x:v>
      </x:c>
      <x:c r="E5" s="16" t="n">
        <x:f>IFERROR(D5/C5,0)</x:f>
        <x:v>0.016666666666666666</x:v>
      </x:c>
    </x:row>
    <x:row r="6">
      <x:c r="A6" t="str">
        <x:v>TPE</x:v>
      </x:c>
      <x:c r="B6" s="14" t="n">
        <x:f>SUMIF(PORTEFEUILLE!$C$5:$C$254,A6,PORTEFEUILLE!$F$5:$F$254)</x:f>
        <x:v>4879922.359999998</x:v>
      </x:c>
      <x:c r="C6" t="n">
        <x:f>COUNTIF(PORTEFEUILLE!$C$5:$C$254,A6)</x:f>
        <x:v>66</x:v>
      </x:c>
      <x:c r="D6" t="n">
        <x:f>COUNTIFS(PORTEFEUILLE!$C$5:$C$254,A6,PORTEFEUILLE!$J$5:$J$254,"Impayé")</x:f>
        <x:v>2</x:v>
      </x:c>
      <x:c r="E6" s="16" t="n">
        <x:f>IFERROR(D6/C6,0)</x:f>
        <x:v>0.030303030303030304</x:v>
      </x:c>
    </x:row>
    <x:row r="7">
      <x:c r="A7" t="str">
        <x:v>PME</x:v>
      </x:c>
      <x:c r="B7" s="14" t="n">
        <x:f>SUMIF(PORTEFEUILLE!$C$5:$C$254,A7,PORTEFEUILLE!$F$5:$F$254)</x:f>
        <x:v>3339238.360000001</x:v>
      </x:c>
      <x:c r="C7" t="n">
        <x:f>COUNTIF(PORTEFEUILLE!$C$5:$C$254,A7)</x:f>
        <x:v>45</x:v>
      </x:c>
      <x:c r="D7" t="n">
        <x:f>COUNTIFS(PORTEFEUILLE!$C$5:$C$254,A7,PORTEFEUILLE!$J$5:$J$254,"Impayé")</x:f>
        <x:v>3</x:v>
      </x:c>
      <x:c r="E7" s="16" t="n">
        <x:f>IFERROR(D7/C7,0)</x:f>
        <x:v>0.06666666666666667</x:v>
      </x:c>
    </x:row>
    <x:row r="8">
      <x:c r="A8" t="str">
        <x:v>Professionnels</x:v>
      </x:c>
      <x:c r="B8" s="14" t="n">
        <x:f>SUMIF(PORTEFEUILLE!$C$5:$C$254,A8,PORTEFEUILLE!$F$5:$F$254)</x:f>
        <x:v>1462020.7600000002</x:v>
      </x:c>
      <x:c r="C8" t="n">
        <x:f>COUNTIF(PORTEFEUILLE!$C$5:$C$254,A8)</x:f>
        <x:v>19</x:v>
      </x:c>
      <x:c r="D8" t="n">
        <x:f>COUNTIFS(PORTEFEUILLE!$C$5:$C$254,A8,PORTEFEUILLE!$J$5:$J$254,"Impayé")</x:f>
        <x:v>0</x:v>
      </x:c>
      <x:c r="E8" s="16" t="n">
        <x:f>IFERROR(D8/C8,0)</x:f>
        <x:v>0</x:v>
      </x:c>
    </x:row>
    <x:row r="9">
      <x:c r="B9" s="14"/>
      <x:c r="E9" s="16"/>
    </x:row>
    <x:row r="10">
      <x:c r="B10" s="14"/>
      <x:c r="E10" s="16"/>
    </x:row>
    <x:row r="11">
      <x:c r="A11" s="9" t="str">
        <x:v>Région</x:v>
      </x:c>
      <x:c r="B11" s="18" t="str">
        <x:v>Encours (MAD)</x:v>
      </x:c>
      <x:c r="C11" s="9" t="str">
        <x:v>Crédits</x:v>
      </x:c>
      <x:c r="D11" s="9" t="str">
        <x:v>Impayés</x:v>
      </x:c>
      <x:c r="E11" s="20" t="str">
        <x:v>Taux impayés</x:v>
      </x:c>
    </x:row>
    <x:row r="12">
      <x:c r="A12" t="str">
        <x:v>Casablanca</x:v>
      </x:c>
      <x:c r="B12" s="14" t="n">
        <x:f>SUMIF(PORTEFEUILLE!$E$5:$E$254,A12,PORTEFEUILLE!$F$5:$F$254)</x:f>
        <x:v>3806314.539999999</x:v>
      </x:c>
      <x:c r="C12" t="n">
        <x:f>COUNTIF(PORTEFEUILLE!$E$5:$E$254,A12)</x:f>
        <x:v>49</x:v>
      </x:c>
      <x:c r="D12" t="n">
        <x:f>COUNTIFS(PORTEFEUILLE!$E$5:$E$254,A12,PORTEFEUILLE!$J$5:$J$254,"Impayé")</x:f>
        <x:v>0</x:v>
      </x:c>
      <x:c r="E12" s="16" t="n">
        <x:f>IFERROR(D12/C12,0)</x:f>
        <x:v>0</x:v>
      </x:c>
    </x:row>
    <x:row r="13">
      <x:c r="A13" t="str">
        <x:v>Rabat</x:v>
      </x:c>
      <x:c r="B13" s="14" t="n">
        <x:f>SUMIF(PORTEFEUILLE!$E$5:$E$254,A13,PORTEFEUILLE!$F$5:$F$254)</x:f>
        <x:v>2821246.0400000005</x:v>
      </x:c>
      <x:c r="C13" t="n">
        <x:f>COUNTIF(PORTEFEUILLE!$E$5:$E$254,A13)</x:f>
        <x:v>41</x:v>
      </x:c>
      <x:c r="D13" t="n">
        <x:f>COUNTIFS(PORTEFEUILLE!$E$5:$E$254,A13,PORTEFEUILLE!$J$5:$J$254,"Impayé")</x:f>
        <x:v>0</x:v>
      </x:c>
      <x:c r="E13" s="16" t="n">
        <x:f>IFERROR(D13/C13,0)</x:f>
        <x:v>0</x:v>
      </x:c>
    </x:row>
    <x:row r="14">
      <x:c r="A14" t="str">
        <x:v>Marrakech</x:v>
      </x:c>
      <x:c r="B14" s="14" t="n">
        <x:f>SUMIF(PORTEFEUILLE!$E$5:$E$254,A14,PORTEFEUILLE!$F$5:$F$254)</x:f>
        <x:v>3101281.59</x:v>
      </x:c>
      <x:c r="C14" t="n">
        <x:f>COUNTIF(PORTEFEUILLE!$E$5:$E$254,A14)</x:f>
        <x:v>42</x:v>
      </x:c>
      <x:c r="D14" t="n">
        <x:f>COUNTIFS(PORTEFEUILLE!$E$5:$E$254,A14,PORTEFEUILLE!$J$5:$J$254,"Impayé")</x:f>
        <x:v>1</x:v>
      </x:c>
      <x:c r="E14" s="16" t="n">
        <x:f>IFERROR(D14/C14,0)</x:f>
        <x:v>0.023809523809523808</x:v>
      </x:c>
    </x:row>
    <x:row r="15">
      <x:c r="A15" t="str">
        <x:v>Tanger</x:v>
      </x:c>
      <x:c r="B15" s="14" t="n">
        <x:f>SUMIF(PORTEFEUILLE!$E$5:$E$254,A15,PORTEFEUILLE!$F$5:$F$254)</x:f>
        <x:v>4061138.3299999996</x:v>
      </x:c>
      <x:c r="C15" t="n">
        <x:f>COUNTIF(PORTEFEUILLE!$E$5:$E$254,A15)</x:f>
        <x:v>54</x:v>
      </x:c>
      <x:c r="D15" t="n">
        <x:f>COUNTIFS(PORTEFEUILLE!$E$5:$E$254,A15,PORTEFEUILLE!$J$5:$J$254,"Impayé")</x:f>
        <x:v>5</x:v>
      </x:c>
      <x:c r="E15" s="16" t="n">
        <x:f>IFERROR(D15/C15,0)</x:f>
        <x:v>0.09259259259259259</x:v>
      </x:c>
    </x:row>
    <x:row r="16">
      <x:c r="A16" t="str">
        <x:v>Fès</x:v>
      </x:c>
      <x:c r="B16" s="14" t="n">
        <x:f>SUMIF(PORTEFEUILLE!$E$5:$E$254,A16,PORTEFEUILLE!$F$5:$F$254)</x:f>
        <x:v>4410019.5</x:v>
      </x:c>
      <x:c r="C16" t="n">
        <x:f>COUNTIF(PORTEFEUILLE!$E$5:$E$254,A16)</x:f>
        <x:v>64</x:v>
      </x:c>
      <x:c r="D16" t="n">
        <x:f>COUNTIFS(PORTEFEUILLE!$E$5:$E$254,A16,PORTEFEUILLE!$J$5:$J$254,"Impayé")</x:f>
        <x:v>1</x:v>
      </x:c>
      <x:c r="E16" s="16" t="n">
        <x:f>IFERROR(D16/C16,0)</x:f>
        <x:v>0.015625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30" customHeight="1">
      <x:c r="A1" s="4" t="str">
        <x:v>RISQUE DE CRÉDIT | INDICATEURS ET SIGNAUX D’ALERTE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t="str">
        <x:v>Indicateur</x:v>
      </x:c>
      <x:c r="B4" t="str">
        <x:v>Interprétation</x:v>
      </x:c>
      <x:c r="D4" t="str">
        <x:v>Indicateur</x:v>
      </x:c>
      <x:c r="E4" t="str">
        <x:v>Valeur</x:v>
      </x:c>
    </x:row>
    <x:row r="5">
      <x:c r="A5" t="str">
        <x:v>Encours en défaut</x:v>
      </x:c>
      <x:c r="B5" t="str">
        <x:v>Somme des encours avec jours de retard &gt; 90</x:v>
      </x:c>
      <x:c r="D5" t="str">
        <x:v>Défaut &gt;90 j</x:v>
      </x:c>
      <x:c r="E5" s="14" t="n">
        <x:f>SUMIF(PORTEFEUILLE!$I$5:$I$254,"&gt;90",PORTEFEUILLE!$F$5:$F$254)</x:f>
        <x:v>280314.87</x:v>
      </x:c>
    </x:row>
    <x:row r="6">
      <x:c r="A6" t="str">
        <x:v>Encours en impayé</x:v>
      </x:c>
      <x:c r="B6" t="str">
        <x:v>Encours avec au moins 1 jour de retard</x:v>
      </x:c>
      <x:c r="D6" t="str">
        <x:v>Impayé &gt;0 j</x:v>
      </x:c>
      <x:c r="E6" s="14" t="n">
        <x:f>SUMIF(PORTEFEUILLE!$I$5:$I$254,"&gt;0",PORTEFEUILLE!$F$5:$F$254)</x:f>
        <x:v>567218.21</x:v>
      </x:c>
    </x:row>
    <x:row r="7">
      <x:c r="A7" t="str">
        <x:v>PAR30</x:v>
      </x:c>
      <x:c r="B7" t="str">
        <x:v>Encours en retard &gt; 30 jours / total encours</x:v>
      </x:c>
      <x:c r="D7" t="str">
        <x:v>PAR30</x:v>
      </x:c>
      <x:c r="E7" s="16" t="n">
        <x:f>IFERROR(SUMIF(PORTEFEUILLE!$I$5:$I$254,"&gt;30",PORTEFEUILLE!$F$5:$F$254)/SUM(PORTEFEUILLE!$F$5:$F$254),0)</x:f>
        <x:v>0.021902916483516482</x:v>
      </x:c>
    </x:row>
    <x:row r="8">
      <x:c r="A8" t="str">
        <x:v>PAR90</x:v>
      </x:c>
      <x:c r="B8" t="str">
        <x:v>Encours en retard &gt; 90 jours / total encours</x:v>
      </x:c>
      <x:c r="D8" t="str">
        <x:v>PAR90</x:v>
      </x:c>
      <x:c r="E8" s="16" t="n">
        <x:f>IFERROR(E5/SUM(PORTEFEUILLE!$F$5:$F$254),0)</x:f>
        <x:v>0.015401915934065934</x:v>
      </x:c>
    </x:row>
    <x:row r="9">
      <x:c r="A9" t="str">
        <x:v>Perte attendue indicative</x:v>
      </x:c>
      <x:c r="B9" t="str">
        <x:v>Somme EAD × PD × LGD</x:v>
      </x:c>
      <x:c r="D9" t="str">
        <x:v>Perte attendue</x:v>
      </x:c>
      <x:c r="E9" s="14" t="n">
        <x:f>SUM(PORTEFEUILLE!$N$5:$N$254)</x:f>
        <x:v>330916.66655714996</x:v>
      </x:c>
    </x:row>
    <x:row r="10">
      <x:c r="A10" t="str">
        <x:v>Exposition pondérée par PD</x:v>
      </x:c>
      <x:c r="B10" t="str">
        <x:v>Somme EAD × PD</x:v>
      </x:c>
      <x:c r="D10" t="str">
        <x:v>EAD x PD</x:v>
      </x:c>
      <x:c r="E10" s="14" t="n">
        <x:f>SUM(PORTEFEUILLE!$O$5:$O$254)</x:f>
        <x:v>719079.6814619999</x:v>
      </x:c>
    </x:row>
    <x:row r="11">
      <x:c r="A11" t="str">
        <x:v>Crédits sous surveillance</x:v>
      </x:c>
      <x:c r="B11" t="str">
        <x:v>Retard &gt; 0 ou PD &gt; 10 %</x:v>
      </x:c>
      <x:c r="D11" t="str">
        <x:v>Alertes (nombre)</x:v>
      </x:c>
      <x:c r="E11" t="n">
        <x:f>COUNTIF(PORTEFEUILLE!$I$5:$I$254,"&gt;0")+COUNTIFS(PORTEFEUILLE!$I$5:$I$254,0,PORTEFEUILLE!$K$5:$K$254,"&gt;0.1")</x:f>
        <x:v>7</x:v>
      </x:c>
    </x:row>
    <x:row r="12">
      <x:c r="A12" t="str">
        <x:v>Modèle simplifié</x:v>
      </x:c>
      <x:c r="B12" t="str">
        <x:v>PD et LGD fictives, non réglementaires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 ht="30" customHeight="1">
      <x:c r="A1" s="4" t="str">
        <x:v>AUDIT &amp; CONTRÔLES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t="str">
        <x:v>Contrôle</x:v>
      </x:c>
      <x:c r="B4" t="str">
        <x:v>Valeur</x:v>
      </x:c>
      <x:c r="C4" t="str">
        <x:v>Statut</x:v>
      </x:c>
    </x:row>
    <x:row r="5">
      <x:c r="A5" t="str">
        <x:v>Total encours</x:v>
      </x:c>
      <x:c r="B5" t="n">
        <x:f>SUM(PORTEFEUILLE!F5:F254)</x:f>
        <x:v>18200000</x:v>
      </x:c>
      <x:c r="C5" t="str">
        <x:f>IF(ABS(B5-18200000)&lt;0.01,"OK","ECART")</x:f>
        <x:v>OK</x:v>
      </x:c>
    </x:row>
    <x:row r="6">
      <x:c r="A6" t="str">
        <x:v>Nombre de crédits</x:v>
      </x:c>
      <x:c r="B6" t="n">
        <x:f>COUNTA(PORTEFEUILLE!A5:A254)</x:f>
        <x:v>250</x:v>
      </x:c>
      <x:c r="C6" t="str">
        <x:f>IF(B6=250,"OK","ECART")</x:f>
        <x:v>OK</x:v>
      </x:c>
    </x:row>
    <x:row r="7">
      <x:c r="A7" t="str">
        <x:v>Nombre impayés</x:v>
      </x:c>
      <x:c r="B7" t="n">
        <x:f>COUNTIF(PORTEFEUILLE!J5:J254,"Impayé")</x:f>
        <x:v>7</x:v>
      </x:c>
      <x:c r="C7" t="str">
        <x:f>IF(B7=7,"OK","ECART")</x:f>
        <x:v>OK</x:v>
      </x:c>
    </x:row>
    <x:row r="8">
      <x:c r="A8" t="str">
        <x:v>Taux impayés</x:v>
      </x:c>
      <x:c r="B8" s="16" t="n">
        <x:f>IFERROR(B7/B6,0)</x:f>
        <x:v>0.028</x:v>
      </x:c>
      <x:c r="C8" t="str">
        <x:f>IF(ABS(B8-0.028)&lt;0.0000001,"OK","ECART")</x:f>
        <x:v>OK</x:v>
      </x:c>
    </x:row>
    <x:row r="9">
      <x:c r="A9" t="str">
        <x:v>Encours par segment</x:v>
      </x:c>
      <x:c r="B9" t="n">
        <x:f>SUM(SEGMENTS!B5:B8)</x:f>
        <x:v>18200000</x:v>
      </x:c>
      <x:c r="C9" t="str">
        <x:f>IF(ABS(B9-B5)&lt;0.01,"OK","ECART")</x:f>
        <x:v>OK</x:v>
      </x:c>
    </x:row>
    <x:row r="10">
      <x:c r="A10" t="str">
        <x:v>Nombre par segment</x:v>
      </x:c>
      <x:c r="B10" t="n">
        <x:f>SUM(SEGMENTS!C5:C8)</x:f>
        <x:v>250</x:v>
      </x:c>
      <x:c r="C10" t="str">
        <x:f>IF(B10=B6,"OK","ECART")</x:f>
        <x:v>OK</x:v>
      </x:c>
    </x:row>
    <x:row r="11">
      <x:c r="A11" t="str">
        <x:v>Encours par région</x:v>
      </x:c>
      <x:c r="B11" t="n">
        <x:f>SUM(SEGMENTS!B12:B16)</x:f>
        <x:v>18200000</x:v>
      </x:c>
      <x:c r="C11" t="str">
        <x:f>IF(ABS(B11-B5)&lt;0.01,"OK","ECART")</x:f>
        <x:v>OK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 ht="30" customHeight="1">
      <x:c r="A1" s="4" t="str">
        <x:v>NOTE MÉTHODOLOGIQUE &amp; LIVRABLE RECRUTEURS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5" ht="32" customHeight="1">
      <x:c r="A5" s="59" t="str">
        <x:v>OBJET : cartographie du risque de crédit d’un portefeuille de 250 prêts simulés.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59"/>
    </x:row>
    <x:row r="6" ht="32" customHeight="1">
      <x:c r="A6" s="59" t="str">
        <x:v>PÉRIMÈTRE : 18 200 000 MAD d’encours fictif, 7 prêts présentant au moins un jour de retard (2,8 % des dossiers).</x:v>
      </x:c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</x:row>
    <x:row r="7" ht="32" customHeight="1">
      <x:c r="A7" s="59" t="str">
        <x:v>Attention : 2,8 % est un taux d’impayés EN NOMBRE DE DOSSIERS, pas un taux d’encours non performant.</x:v>
      </x:c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59"/>
    </x:row>
    <x:row r="8" ht="32" customHeight="1">
      <x:c r="A8" s="59" t="str">
        <x:v>PAR30 = exposition des prêts à plus de 30 jours de retard / exposition totale.</x:v>
      </x:c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59"/>
    </x:row>
    <x:row r="9" ht="32" customHeight="1">
      <x:c r="A9" s="59" t="str">
        <x:v>PAR90 = exposition des prêts à plus de 90 jours de retard / exposition totale.</x:v>
      </x:c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</x:row>
    <x:row r="10" ht="32" customHeight="1">
      <x:c r="A10" s="59" t="str">
        <x:v>Perte attendue indicative = EAD × PD × LGD, à des fins de démonstration uniquement.</x:v>
      </x:c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</x:row>
    <x:row r="11" ht="32" customHeight="1">
      <x:c r="A11" s="59" t="str">
        <x:v>EAD assimilée à l’encours. PD/LGD fictives non calibrées sur historique ni conformes à IFRS 9/Bâle.</x:v>
      </x:c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</x:row>
    <x:row r="12" ht="32" customHeight="1">
      <x:c r="A12" s="59" t="str">
        <x:v>Le dashboard permet de sélectionner un segment dans la cellule E6.</x:v>
      </x:c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</x:row>
    <x:row r="13" ht="32" customHeight="1">
      <x:c r="A13" s="59" t="str">
        <x:v>Données entièrement synthétiques : ne pas présenter comme données bancaires réelles.</x:v>
      </x:c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</x:row>
    <x:row r="14" ht="32" customHeight="1">
      <x:c r="A14" s="59" t="str">
        <x:v>Projet conçu pour enrichir le portfolio de Khadija Machghoul.</x:v>
      </x:c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</x:row>
  </x:sheetData>
  <x:mergeCells>
    <x:mergeCell ref="A1:H2"/>
    <x:mergeCell ref="A5:L5"/>
    <x:mergeCell ref="A6:L6"/>
    <x:mergeCell ref="A7:L7"/>
    <x:mergeCell ref="A8:L8"/>
    <x:mergeCell ref="A9:L9"/>
    <x:mergeCell ref="A10:L10"/>
    <x:mergeCell ref="A11:L11"/>
    <x:mergeCell ref="A12:L12"/>
    <x:mergeCell ref="A13:L13"/>
    <x:mergeCell ref="A14:L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Segment</x:v>
      </x:c>
      <x:c r="B1" t="str">
        <x:v>Encours MAD</x:v>
      </x:c>
      <x:c r="C1" t="str">
        <x:v>Crédits impayés</x:v>
      </x:c>
    </x:row>
    <x:row r="2">
      <x:c r="A2" t="str">
        <x:f>SEGMENTS!A5</x:f>
        <x:v>Particuliers</x:v>
      </x:c>
      <x:c r="B2" t="n">
        <x:f>SEGMENTS!B5</x:f>
        <x:v>8518818.520000001</x:v>
      </x:c>
      <x:c r="C2" t="n">
        <x:f>SEGMENTS!D5</x:f>
        <x:v>2</x:v>
      </x:c>
    </x:row>
    <x:row r="3">
      <x:c r="A3" t="str">
        <x:f>SEGMENTS!A6</x:f>
        <x:v>TPE</x:v>
      </x:c>
      <x:c r="B3" t="n">
        <x:f>SEGMENTS!B6</x:f>
        <x:v>4879922.359999998</x:v>
      </x:c>
      <x:c r="C3" t="n">
        <x:f>SEGMENTS!D6</x:f>
        <x:v>2</x:v>
      </x:c>
    </x:row>
    <x:row r="4">
      <x:c r="A4" t="str">
        <x:f>SEGMENTS!A7</x:f>
        <x:v>PME</x:v>
      </x:c>
      <x:c r="B4" t="n">
        <x:f>SEGMENTS!B7</x:f>
        <x:v>3339238.360000001</x:v>
      </x:c>
      <x:c r="C4" t="n">
        <x:f>SEGMENTS!D7</x:f>
        <x:v>3</x:v>
      </x:c>
    </x:row>
    <x:row r="5">
      <x:c r="A5" t="str">
        <x:f>SEGMENTS!A8</x:f>
        <x:v>Professionnels</x:v>
      </x:c>
      <x:c r="B5" t="n">
        <x:f>SEGMENTS!B8</x:f>
        <x:v>1462020.7600000002</x:v>
      </x:c>
      <x:c r="C5" t="n">
        <x:f>SEGMENTS!D8</x:f>
        <x:v>0</x:v>
      </x:c>
    </x:row>
  </x:sheetData>
  <x:pageMargins left="0.7" right="0.7" top="0.75" bottom="0.75" header="0.3" footer="0.3"/>
</x:worksheet>
</file>