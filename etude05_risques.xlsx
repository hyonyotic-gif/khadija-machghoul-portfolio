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08137e771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eaa1f7d3cca44e7"/>
    <x:sheet xmlns:r="http://schemas.openxmlformats.org/officeDocument/2006/relationships" name="REGISTRE_RISQUES" sheetId="2" r:id="R091dd4bb224b47c0"/>
    <x:sheet xmlns:r="http://schemas.openxmlformats.org/officeDocument/2006/relationships" name="PLAN_MITIGATION" sheetId="3" r:id="R966da56fdd294d4a"/>
    <x:sheet xmlns:r="http://schemas.openxmlformats.org/officeDocument/2006/relationships" name="MATRICE_5x5" sheetId="4" r:id="R0748c0e10ae24705"/>
    <x:sheet xmlns:r="http://schemas.openxmlformats.org/officeDocument/2006/relationships" name="CONTROLES" sheetId="5" r:id="R5f6a4949f2564ee1"/>
    <x:sheet xmlns:r="http://schemas.openxmlformats.org/officeDocument/2006/relationships" name="PARAMETRES" sheetId="6" r:id="Rdf7b13df0de840e3"/>
    <x:sheet xmlns:r="http://schemas.openxmlformats.org/officeDocument/2006/relationships" name="GUIDE" sheetId="7" r:id="R6c412392193548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%"/>
  </x:numFmts>
  <x:fonts count="1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6"/>
      <x:color rgb="FFFFFFFF"/>
      <x:name val="Carlito"/>
    </x:font>
    <x:font>
      <x:b/>
      <x:sz val="17"/>
      <x:color rgb="FFFFFFFF"/>
      <x:name val="Carlito"/>
    </x:font>
    <x:font>
      <x:b/>
      <x:sz val="15"/>
      <x:color rgb="FF14263D"/>
      <x:name val="Carlito"/>
    </x:font>
    <x:font>
      <x:sz val="11"/>
      <x:color rgb="FF14263D"/>
      <x:name val="Carlito"/>
    </x:font>
    <x:font>
      <x:b/>
      <x:sz val="19"/>
      <x:color rgb="FFFFFFFF"/>
      <x:name val="Carlito"/>
    </x:font>
    <x:font>
      <x:b/>
      <x:sz val="11"/>
      <x:color rgb="FF14263D"/>
      <x:name val="Carlito"/>
    </x:font>
    <x:font>
      <x:b/>
      <x:sz val="11"/>
      <x:color rgb="FF0A5A88"/>
      <x:name val="Carlito"/>
    </x:font>
    <x:font>
      <x:b/>
      <x:sz val="10"/>
      <x:color rgb="FFFFFFFF"/>
      <x:name val="Carlito"/>
    </x:font>
    <x:font>
      <x:b/>
      <x:sz val="22"/>
      <x:color rgb="FF14263D"/>
      <x:name val="Carlito"/>
    </x:font>
    <x:font>
      <x:b/>
      <x:sz val="18"/>
      <x:color rgb="FF007F86"/>
      <x:name val="Carlito"/>
    </x:font>
    <x:font>
      <x:sz val="13"/>
      <x:color rgb="FF14263D"/>
      <x:name val="Carlito"/>
    </x:font>
    <x:font>
      <x:b/>
      <x:sz val="13"/>
      <x:color rgb="FF14263D"/>
      <x:name val="Carlito"/>
    </x:font>
    <x:font>
      <x:sz val="10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203952"/>
      </x:patternFill>
    </x:fill>
    <x:fill>
      <x:patternFill patternType="solid">
        <x:fgColor rgb="FFF9EFBF"/>
      </x:patternFill>
    </x:fill>
    <x:fill>
      <x:patternFill patternType="solid">
        <x:fgColor rgb="FFFFE0BC"/>
      </x:patternFill>
    </x:fill>
    <x:fill>
      <x:patternFill patternType="solid">
        <x:fgColor rgb="FFF8C7C7"/>
      </x:patternFill>
    </x:fill>
    <x:fill>
      <x:patternFill patternType="solid">
        <x:fgColor rgb="FFD8F1E5"/>
      </x:patternFill>
    </x:fill>
    <x:fill>
      <x:patternFill patternType="solid">
        <x:fgColor rgb="FFECF4F6"/>
      </x:patternFill>
    </x:fill>
    <x:fill>
      <x:patternFill patternType="solid">
        <x:fgColor rgb="FFF4F7FA"/>
      </x:patternFill>
    </x:fill>
    <x:fill>
      <x:patternFill patternType="solid">
        <x:fgColor rgb="FF007F86"/>
      </x:patternFill>
    </x:fill>
    <x:fill>
      <x:patternFill patternType="solid">
        <x:fgColor rgb="FFE0EBF1"/>
      </x:patternFill>
    </x:fill>
    <x:fill>
      <x:patternFill patternType="solid">
        <x:fgColor rgb="FFFFF2C9"/>
      </x:patternFill>
    </x:fill>
    <x:fill>
      <x:patternFill patternType="solid">
        <x:fgColor rgb="FFFFFFFF"/>
      </x:patternFill>
    </x:fill>
    <x:fill>
      <x:patternFill patternType="solid">
        <x:fgColor rgb="FFDCE9EF"/>
      </x:patternFill>
    </x:fill>
    <x:fill>
      <x:patternFill patternType="solid">
        <x:fgColor rgb="FFFFF2C2"/>
      </x:patternFill>
    </x:fill>
    <x:fill>
      <x:patternFill patternType="solid">
        <x:fgColor rgb="FFFFE1BF"/>
      </x:patternFill>
    </x:fill>
    <x:fill>
      <x:patternFill patternType="solid">
        <x:fgColor rgb="FFF9C9C9"/>
      </x:patternFill>
    </x:fill>
  </x:fills>
  <x:borders count="2">
    <x:border/>
    <x:border/>
  </x:borders>
  <x:cellStyleXfs count="1">
    <x:xf numFmtId="0" fontId="0" fillId="0" borderId="0"/>
  </x:cellStyleXfs>
  <x:cellXfs count="1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0" fillId="10" borderId="1" xfId="0" applyNumberFormat="1" applyFont="1" applyFill="1" applyBorder="1"/>
    <x:xf numFmtId="0" fontId="1" fillId="10" borderId="1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1" borderId="1" xfId="0" applyNumberFormat="1" applyFont="1" applyFill="1" applyBorder="1"/>
    <x:xf numFmtId="0" fontId="8" fillId="11" borderId="1" xfId="0" applyNumberFormat="1" applyFont="1" applyFill="1" applyBorder="1"/>
    <x:xf numFmtId="0" fontId="8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8" fillId="12" borderId="1" xfId="0" applyNumberFormat="1" applyFont="1" applyFill="1" applyBorder="1"/>
    <x:xf numFmtId="0" fontId="9" fillId="12" borderId="1" xfId="0" applyNumberFormat="1" applyFont="1" applyFill="1" applyBorder="1"/>
    <x:xf numFmtId="0" fontId="9" fillId="12" borderId="1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horizontal="center"/>
    </x:xf>
    <x:xf numFmtId="0" fontId="11" fillId="13" borderId="0" xfId="0" applyNumberFormat="1" applyFont="1" applyFill="1" applyBorder="1" applyAlignment="1">
      <x:alignment horizontal="center" vertical="center"/>
    </x:xf>
    <x:xf numFmtId="0" fontId="0" fillId="13" borderId="1" xfId="0" applyNumberFormat="1" applyFont="1" applyFill="1" applyBorder="1"/>
    <x:xf numFmtId="0" fontId="11" fillId="13" borderId="1" xfId="0" applyNumberFormat="1" applyFont="1" applyFill="1" applyBorder="1"/>
    <x:xf numFmtId="0" fontId="11" fillId="13" borderId="1" xfId="0" applyNumberFormat="1" applyFont="1" applyFill="1" applyBorder="1" applyAlignment="1">
      <x:alignment horizontal="center"/>
    </x:xf>
    <x:xf numFmtId="0" fontId="11" fillId="13" borderId="1" xfId="0" applyNumberFormat="1" applyFont="1" applyFill="1" applyBorder="1" applyAlignment="1">
      <x:alignment horizontal="center" vertical="center"/>
    </x:xf>
    <x:xf numFmtId="200" fontId="11" fillId="13" borderId="0" xfId="0" applyNumberFormat="1" applyFont="1" applyFill="1" applyBorder="1" applyAlignment="1">
      <x:alignment horizontal="center" vertical="center"/>
    </x:xf>
    <x:xf numFmtId="200" fontId="11" fillId="13" borderId="1" xfId="0" applyNumberFormat="1" applyFont="1" applyFill="1" applyBorder="1" applyAlignment="1">
      <x:alignment horizontal="center" vertical="center"/>
    </x:xf>
    <x:xf numFmtId="201" fontId="11" fillId="13" borderId="0" xfId="0" applyNumberFormat="1" applyFont="1" applyFill="1" applyBorder="1" applyAlignment="1">
      <x:alignment horizontal="center" vertical="center"/>
    </x:xf>
    <x:xf numFmtId="201" fontId="11" fillId="13" borderId="1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0" fillId="14" borderId="1" xfId="0" applyNumberFormat="1" applyFont="1" applyFill="1" applyBorder="1"/>
    <x:xf numFmtId="0" fontId="8" fillId="14" borderId="1" xfId="0" applyNumberFormat="1" applyFont="1" applyFill="1" applyBorder="1"/>
    <x:xf numFmtId="201" fontId="0" fillId="9" borderId="0" xfId="0" applyNumberFormat="1" applyFont="1" applyFill="1" applyBorder="1"/>
    <x:xf numFmtId="201" fontId="0" fillId="9" borderId="1" xfId="0" applyNumberFormat="1" applyFont="1" applyFill="1" applyBorder="1"/>
    <x:xf numFmtId="202" fontId="0" fillId="9" borderId="0" xfId="0" applyNumberFormat="1" applyFont="1" applyFill="1" applyBorder="1"/>
    <x:xf numFmtId="202" fontId="0" fillId="9" borderId="1" xfId="0" applyNumberFormat="1" applyFont="1" applyFill="1" applyBorder="1"/>
    <x:xf numFmtId="201" fontId="0" fillId="7" borderId="0" xfId="0" applyNumberFormat="1" applyFont="1" applyFill="1" applyBorder="1"/>
    <x:xf numFmtId="201" fontId="12" fillId="7" borderId="0" xfId="0" applyNumberFormat="1" applyFont="1" applyFill="1" applyBorder="1"/>
    <x:xf numFmtId="0" fontId="12" fillId="7" borderId="0" xfId="0" applyNumberFormat="1" applyFont="1" applyFill="1" applyBorder="1"/>
    <x:xf numFmtId="201" fontId="12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201" fontId="12" fillId="7" borderId="0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 applyAlignment="1">
      <x:alignment horizontal="center" vertical="center"/>
    </x:xf>
    <x:xf numFmtId="201" fontId="0" fillId="7" borderId="1" xfId="0" applyNumberFormat="1" applyFont="1" applyFill="1" applyBorder="1"/>
    <x:xf numFmtId="201" fontId="12" fillId="7" borderId="1" xfId="0" applyNumberFormat="1" applyFont="1" applyFill="1" applyBorder="1"/>
    <x:xf numFmtId="0" fontId="12" fillId="7" borderId="1" xfId="0" applyNumberFormat="1" applyFont="1" applyFill="1" applyBorder="1"/>
    <x:xf numFmtId="201" fontId="12" fillId="7" borderId="1" xfId="0" applyNumberFormat="1" applyFont="1" applyFill="1" applyBorder="1" applyAlignment="1">
      <x:alignment horizontal="center"/>
    </x:xf>
    <x:xf numFmtId="0" fontId="12" fillId="7" borderId="1" xfId="0" applyNumberFormat="1" applyFont="1" applyFill="1" applyBorder="1" applyAlignment="1">
      <x:alignment horizontal="center"/>
    </x:xf>
    <x:xf numFmtId="201" fontId="12" fillId="7" borderId="1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horizontal="center" vertical="center"/>
    </x:xf>
    <x:xf numFmtId="202" fontId="0" fillId="7" borderId="0" xfId="0" applyNumberFormat="1" applyFont="1" applyFill="1" applyBorder="1"/>
    <x:xf numFmtId="202" fontId="12" fillId="7" borderId="0" xfId="0" applyNumberFormat="1" applyFont="1" applyFill="1" applyBorder="1"/>
    <x:xf numFmtId="202" fontId="12" fillId="7" borderId="0" xfId="0" applyNumberFormat="1" applyFont="1" applyFill="1" applyBorder="1" applyAlignment="1">
      <x:alignment horizontal="center"/>
    </x:xf>
    <x:xf numFmtId="202" fontId="12" fillId="7" borderId="0" xfId="0" applyNumberFormat="1" applyFont="1" applyFill="1" applyBorder="1" applyAlignment="1">
      <x:alignment horizontal="center" vertical="center"/>
    </x:xf>
    <x:xf numFmtId="202" fontId="0" fillId="7" borderId="1" xfId="0" applyNumberFormat="1" applyFont="1" applyFill="1" applyBorder="1"/>
    <x:xf numFmtId="202" fontId="12" fillId="7" borderId="1" xfId="0" applyNumberFormat="1" applyFont="1" applyFill="1" applyBorder="1"/>
    <x:xf numFmtId="202" fontId="12" fillId="7" borderId="1" xfId="0" applyNumberFormat="1" applyFont="1" applyFill="1" applyBorder="1" applyAlignment="1">
      <x:alignment horizontal="center"/>
    </x:xf>
    <x:xf numFmtId="202" fontId="12" fillId="7" borderId="1" xfId="0" applyNumberFormat="1" applyFont="1" applyFill="1" applyBorder="1" applyAlignment="1">
      <x:alignment horizontal="center" vertical="center"/>
    </x:xf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/>
    <x:xf numFmtId="0" fontId="13" fillId="13" borderId="1" xfId="0" applyNumberFormat="1" applyFont="1" applyFill="1" applyBorder="1" applyAlignment="1">
      <x:alignment wrapText="1"/>
    </x:xf>
    <x:xf numFmtId="0" fontId="13" fillId="13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0" xfId="0" applyNumberFormat="1" applyFont="1" applyFill="1" applyBorder="1" applyAlignment="1">
      <x:alignment horizontal="center"/>
    </x:xf>
    <x:xf numFmtId="0" fontId="14" fillId="15" borderId="0" xfId="0" applyNumberFormat="1" applyFont="1" applyFill="1" applyBorder="1" applyAlignment="1">
      <x:alignment horizontal="center" vertical="center"/>
    </x:xf>
    <x:xf numFmtId="0" fontId="0" fillId="15" borderId="1" xfId="0" applyNumberFormat="1" applyFont="1" applyFill="1" applyBorder="1"/>
    <x:xf numFmtId="0" fontId="14" fillId="15" borderId="1" xfId="0" applyNumberFormat="1" applyFont="1" applyFill="1" applyBorder="1"/>
    <x:xf numFmtId="0" fontId="14" fillId="15" borderId="1" xfId="0" applyNumberFormat="1" applyFont="1" applyFill="1" applyBorder="1" applyAlignment="1">
      <x:alignment horizontal="center"/>
    </x:xf>
    <x:xf numFmtId="0" fontId="14" fillId="15" borderId="1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horizontal="center"/>
    </x:xf>
    <x:xf numFmtId="0" fontId="14" fillId="16" borderId="0" xfId="0" applyNumberFormat="1" applyFont="1" applyFill="1" applyBorder="1" applyAlignment="1">
      <x:alignment horizontal="center" vertical="center"/>
    </x:xf>
    <x:xf numFmtId="0" fontId="0" fillId="16" borderId="1" xfId="0" applyNumberFormat="1" applyFont="1" applyFill="1" applyBorder="1"/>
    <x:xf numFmtId="0" fontId="14" fillId="16" borderId="1" xfId="0" applyNumberFormat="1" applyFont="1" applyFill="1" applyBorder="1"/>
    <x:xf numFmtId="0" fontId="14" fillId="16" borderId="1" xfId="0" applyNumberFormat="1" applyFont="1" applyFill="1" applyBorder="1" applyAlignment="1">
      <x:alignment horizontal="center"/>
    </x:xf>
    <x:xf numFmtId="0" fontId="14" fillId="16" borderId="1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14" fillId="17" borderId="0" xfId="0" applyNumberFormat="1" applyFont="1" applyFill="1" applyBorder="1"/>
    <x:xf numFmtId="0" fontId="14" fillId="17" borderId="0" xfId="0" applyNumberFormat="1" applyFont="1" applyFill="1" applyBorder="1" applyAlignment="1">
      <x:alignment horizontal="center"/>
    </x:xf>
    <x:xf numFmtId="0" fontId="14" fillId="17" borderId="0" xfId="0" applyNumberFormat="1" applyFont="1" applyFill="1" applyBorder="1" applyAlignment="1">
      <x:alignment horizontal="center" vertical="center"/>
    </x:xf>
    <x:xf numFmtId="0" fontId="0" fillId="17" borderId="1" xfId="0" applyNumberFormat="1" applyFont="1" applyFill="1" applyBorder="1"/>
    <x:xf numFmtId="0" fontId="14" fillId="17" borderId="1" xfId="0" applyNumberFormat="1" applyFont="1" applyFill="1" applyBorder="1"/>
    <x:xf numFmtId="0" fontId="14" fillId="17" borderId="1" xfId="0" applyNumberFormat="1" applyFont="1" applyFill="1" applyBorder="1" applyAlignment="1">
      <x:alignment horizontal="center"/>
    </x:xf>
    <x:xf numFmtId="0" fontId="14" fillId="17" borderId="1" xfId="0" applyNumberFormat="1" applyFont="1" applyFill="1" applyBorder="1" applyAlignment="1">
      <x:alignment horizontal="center" vertical="center"/>
    </x:xf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horizontal="center"/>
    </x:xf>
    <x:xf numFmtId="0" fontId="14" fillId="7" borderId="0" xfId="0" applyNumberFormat="1" applyFont="1" applyFill="1" applyBorder="1" applyAlignment="1">
      <x:alignment horizontal="center" vertical="center"/>
    </x:xf>
    <x:xf numFmtId="0" fontId="14" fillId="7" borderId="1" xfId="0" applyNumberFormat="1" applyFont="1" applyFill="1" applyBorder="1"/>
    <x:xf numFmtId="0" fontId="14" fillId="7" borderId="1" xfId="0" applyNumberFormat="1" applyFont="1" applyFill="1" applyBorder="1" applyAlignment="1">
      <x:alignment horizontal="center"/>
    </x:xf>
    <x:xf numFmtId="0" fontId="14" fillId="7" borderId="1" xfId="0" applyNumberFormat="1" applyFont="1" applyFill="1" applyBorder="1" applyAlignment="1">
      <x:alignment horizontal="center" vertical="center"/>
    </x:xf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vertical="center" wrapText="1"/>
    </x:xf>
    <x:xf numFmtId="0" fontId="6" fillId="13" borderId="1" xfId="0" applyNumberFormat="1" applyFont="1" applyFill="1" applyBorder="1"/>
    <x:xf numFmtId="0" fontId="6" fillId="13" borderId="1" xfId="0" applyNumberFormat="1" applyFont="1" applyFill="1" applyBorder="1" applyAlignment="1">
      <x:alignment wrapText="1"/>
    </x:xf>
    <x:xf numFmtId="0" fontId="6" fillId="13" borderId="1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77d46643e460e" /><Relationship Type="http://schemas.openxmlformats.org/officeDocument/2006/relationships/theme" Target="/xl/theme/theme1.xml" Id="Rcc2a0b15e7294265" /><Relationship Type="http://schemas.openxmlformats.org/officeDocument/2006/relationships/sharedStrings" Target="/xl/sharedStrings.xml" Id="R09aac3ca748e43a2" /><Relationship Type="http://schemas.openxmlformats.org/officeDocument/2006/relationships/worksheet" Target="/xl/worksheets/sheet1.xml" Id="Reeaa1f7d3cca44e7" /><Relationship Type="http://schemas.openxmlformats.org/officeDocument/2006/relationships/worksheet" Target="/xl/worksheets/sheet2.xml" Id="R091dd4bb224b47c0" /><Relationship Type="http://schemas.openxmlformats.org/officeDocument/2006/relationships/worksheet" Target="/xl/worksheets/sheet3.xml" Id="R966da56fdd294d4a" /><Relationship Type="http://schemas.openxmlformats.org/officeDocument/2006/relationships/worksheet" Target="/xl/worksheets/sheet4.xml" Id="R0748c0e10ae24705" /><Relationship Type="http://schemas.openxmlformats.org/officeDocument/2006/relationships/worksheet" Target="/xl/worksheets/sheet5.xml" Id="R5f6a4949f2564ee1" /><Relationship Type="http://schemas.openxmlformats.org/officeDocument/2006/relationships/worksheet" Target="/xl/worksheets/sheet6.xml" Id="Rdf7b13df0de840e3" /><Relationship Type="http://schemas.openxmlformats.org/officeDocument/2006/relationships/worksheet" Target="/xl/worksheets/sheet7.xml" Id="R6c412392193548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4c0dc5e7044a8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Brut</c:v>
          </c:tx>
          <c:cat>
            <c:strRef>
              <c:f>'DASHBOARD'!$A$18:$A$21</c:f>
              <c:strCache>
                <c:ptCount val="0"/>
              </c:strCache>
            </c:strRef>
          </c:cat>
          <c:val>
            <c:numRef>
              <c:f>'DASHBOARD'!$B$18:$B$21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Résiduel</c:v>
          </c:tx>
          <c:cat>
            <c:strRef>
              <c:f>'DASHBOARD'!$A$18:$A$21</c:f>
              <c:strCache>
                <c:ptCount val="0"/>
              </c:strCache>
            </c:strRef>
          </c:cat>
          <c:val>
            <c:numRef>
              <c:f>'DASHBOARD'!$C$18:$C$21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4c0dc5e7044a8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77262ffbd94bf7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22" customHeight="1">
      <x:c r="A1" s="61" t="str">
        <x:v>NOVA GROUP MAROC  /  RISK INTELLIGENCE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</x:row>
    <x:row r="2" ht="22" customHeight="1">
      <x:c r="A2" s="61"/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</x:row>
    <x:row r="3" ht="22" customHeight="1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</x:row>
    <x:row r="4" ht="25" customHeight="1">
      <x:c r="A4" s="65" t="str">
        <x:v>ÉTUDE 05     CARTOGRAPHIE DES RISQUES  •  Registre fictif 2026  •  Khadija Machghoul</x:v>
      </x:c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</x:row>
    <x:row r="5">
      <x:c r="A5" s="58"/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  <x:c r="P5" s="58"/>
    </x:row>
    <x:row r="6" ht="31" customHeight="1">
      <x:c r="A6" s="69" t="str">
        <x:v>PÉRIMÈTRE D'ANALYSE</x:v>
      </x:c>
      <x:c r="B6" s="69"/>
      <x:c r="C6" s="69"/>
      <x:c r="D6" s="69"/>
      <x:c r="E6" s="69" t="str">
        <x:v>Choisir une catégorie →</x:v>
      </x:c>
      <x:c r="F6" s="69"/>
      <x:c r="G6" s="69"/>
      <x:c r="H6" s="69"/>
      <x:c r="I6" s="74" t="str">
        <x:v>Tous les risques</x:v>
      </x:c>
      <x:c r="J6" s="74"/>
      <x:c r="K6" s="74"/>
      <x:c r="L6" s="74"/>
      <x:c r="M6" s="69" t="str">
        <x:v>2026 • Simulation</x:v>
      </x:c>
      <x:c r="N6" s="69"/>
      <x:c r="O6" s="69"/>
      <x:c r="P6" s="69"/>
    </x:row>
    <x:row r="7">
      <x:c r="A7" s="58"/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  <x:c r="O7" s="58"/>
      <x:c r="P7" s="58"/>
    </x:row>
    <x:row r="8" ht="10" customHeight="1">
      <x:c r="A8" s="58"/>
      <x:c r="B8" s="58"/>
      <x:c r="C8" s="58"/>
      <x:c r="D8" s="58"/>
      <x:c r="E8" s="58"/>
      <x:c r="F8" s="58"/>
      <x:c r="G8" s="58"/>
      <x:c r="H8" s="58"/>
      <x:c r="I8" s="58"/>
      <x:c r="J8" s="58"/>
      <x:c r="K8" s="58"/>
      <x:c r="L8" s="58"/>
      <x:c r="M8" s="58"/>
      <x:c r="N8" s="58"/>
      <x:c r="O8" s="58"/>
      <x:c r="P8" s="58"/>
    </x:row>
    <x:row r="9" ht="24" customHeight="1">
      <x:c r="A9" s="79" t="str">
        <x:v>RISQUES IDENTIFIÉS</x:v>
      </x:c>
      <x:c r="B9" s="79"/>
      <x:c r="C9" s="79"/>
      <x:c r="D9" s="79"/>
      <x:c r="E9" s="79" t="str">
        <x:v>RISQUES CRITIQUES</x:v>
      </x:c>
      <x:c r="F9" s="79"/>
      <x:c r="G9" s="79"/>
      <x:c r="H9" s="79"/>
      <x:c r="I9" s="79" t="str">
        <x:v>SCORE BRUT MOYEN</x:v>
      </x:c>
      <x:c r="J9" s="79"/>
      <x:c r="K9" s="79"/>
      <x:c r="L9" s="79"/>
      <x:c r="M9" s="79" t="str">
        <x:v>RISQUES RÉSIDUELS ≥15</x:v>
      </x:c>
      <x:c r="N9" s="79"/>
      <x:c r="O9" s="79"/>
      <x:c r="P9" s="79"/>
    </x:row>
    <x:row r="10">
      <x:c r="A10" s="90" t="n">
        <x:f>IF($I$6="Tous les risques",COUNTA(REGISTRE_RISQUES!A5:A40),COUNTIF(REGISTRE_RISQUES!C5:C40,$I$6))</x:f>
        <x:v>36</x:v>
      </x:c>
      <x:c r="B10" s="85"/>
      <x:c r="C10" s="85"/>
      <x:c r="D10" s="85"/>
      <x:c r="E10" s="90" t="n">
        <x:f>IF($I$6="Tous les risques",COUNTIF(REGISTRE_RISQUES!$F$5:$F$40,"&gt;=15"),COUNTIFS(REGISTRE_RISQUES!$F$5:$F$40,"&gt;=15",REGISTRE_RISQUES!$C$5:$C$40,$I$6))</x:f>
        <x:v>12</x:v>
      </x:c>
      <x:c r="F10" s="85"/>
      <x:c r="G10" s="85"/>
      <x:c r="H10" s="85"/>
      <x:c r="I10" s="92" t="n">
        <x:f>IFERROR(IF($I$6="Tous les risques",AVERAGE(REGISTRE_RISQUES!F5:F40),AVERAGEIF(REGISTRE_RISQUES!C5:C40,$I$6,REGISTRE_RISQUES!F5:F40)),0)</x:f>
        <x:v>12.61111111111111</x:v>
      </x:c>
      <x:c r="J10" s="85"/>
      <x:c r="K10" s="85"/>
      <x:c r="L10" s="85"/>
      <x:c r="M10" s="90" t="n">
        <x:f>IF($I$6="Tous les risques",COUNTIF(REGISTRE_RISQUES!$L$5:$L$40,"&gt;=15"),COUNTIFS(REGISTRE_RISQUES!$L$5:$L$40,"&gt;=15",REGISTRE_RISQUES!$C$5:$C$40,$I$6))</x:f>
        <x:v>3</x:v>
      </x:c>
      <x:c r="N10" s="85"/>
      <x:c r="O10" s="85"/>
      <x:c r="P10" s="85"/>
    </x:row>
    <x:row r="11">
      <x:c r="A11" s="85"/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5"/>
      <x:c r="P11" s="85"/>
    </x:row>
    <x:row r="12">
      <x:c r="A12" s="85"/>
      <x:c r="B12" s="85"/>
      <x:c r="C12" s="85"/>
      <x:c r="D12" s="85"/>
      <x:c r="E12" s="85"/>
      <x:c r="F12" s="85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</x:row>
    <x:row r="13">
      <x:c r="A13" s="58"/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  <x:c r="O13" s="58"/>
      <x:c r="P13" s="58"/>
    </x:row>
    <x:row r="14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8"/>
      <x:c r="O14" s="58"/>
      <x:c r="P14" s="58"/>
    </x:row>
    <x:row r="15" ht="25" customHeight="1">
      <x:c r="A15" s="15" t="str">
        <x:v>01  |  RÉPARTITION DES RISQUES PAR NIVEAU</x:v>
      </x:c>
      <x:c r="B15" s="15"/>
      <x:c r="C15" s="15"/>
      <x:c r="D15" s="15"/>
      <x:c r="E15" s="15"/>
      <x:c r="F15" s="15"/>
      <x:c r="G15" s="15"/>
      <x:c r="H15" s="15"/>
      <x:c r="I15" s="15" t="str">
        <x:v>02  |  EFFICACITÉ DU DISPOSITIF DE CONTRÔLE</x:v>
      </x:c>
      <x:c r="J15" s="15"/>
      <x:c r="K15" s="15"/>
      <x:c r="L15" s="15"/>
      <x:c r="M15" s="15"/>
      <x:c r="N15" s="15"/>
      <x:c r="O15" s="15"/>
      <x:c r="P15" s="15"/>
    </x:row>
    <x:row r="16">
      <x:c r="A16" s="58"/>
      <x:c r="B16" s="58"/>
      <x:c r="C16" s="58"/>
      <x:c r="D16" s="58"/>
      <x:c r="E16" s="58"/>
      <x:c r="F16" s="58"/>
      <x:c r="G16" s="58"/>
      <x:c r="H16" s="58"/>
      <x:c r="I16" s="58"/>
      <x:c r="J16" s="58"/>
      <x:c r="K16" s="58"/>
      <x:c r="L16" s="58"/>
      <x:c r="M16" s="58"/>
      <x:c r="N16" s="58"/>
      <x:c r="O16" s="58"/>
      <x:c r="P16" s="58"/>
    </x:row>
    <x:row r="17">
      <x:c r="A17" s="95" t="str">
        <x:v>Niveau</x:v>
      </x:c>
      <x:c r="B17" s="95" t="str">
        <x:v>Brut</x:v>
      </x:c>
      <x:c r="C17" s="95" t="str">
        <x:v>Résiduel</x:v>
      </x:c>
      <x:c r="D17" s="58"/>
      <x:c r="E17" s="58"/>
      <x:c r="F17" s="58"/>
      <x:c r="G17" s="58"/>
      <x:c r="H17" s="58"/>
      <x:c r="I17" s="58"/>
      <x:c r="J17" s="58"/>
      <x:c r="K17" s="58"/>
      <x:c r="L17" s="58"/>
      <x:c r="M17" s="58"/>
      <x:c r="N17" s="58"/>
      <x:c r="O17" s="58"/>
      <x:c r="P17" s="58"/>
    </x:row>
    <x:row r="18" ht="27" customHeight="1">
      <x:c r="A18" s="82" t="str">
        <x:v>Faible</x:v>
      </x:c>
      <x:c r="B18" s="82" t="n">
        <x:f>IF($I$6="Tous les risques",COUNTIFS(REGISTRE_RISQUES!$F$5:$F$40,"&gt;=1",REGISTRE_RISQUES!$F$5:$F$40,"&lt;=4"),COUNTIFS(REGISTRE_RISQUES!$F$5:$F$40,"&gt;=1",REGISTRE_RISQUES!$F$5:$F$40,"&lt;=4",REGISTRE_RISQUES!$C$5:$C$40,$I$6))</x:f>
        <x:v>0</x:v>
      </x:c>
      <x:c r="C18" s="82" t="n">
        <x:f>IF($I$6="Tous les risques",COUNTIFS(REGISTRE_RISQUES!$L$5:$L$40,"&gt;=1",REGISTRE_RISQUES!$L$5:$L$40,"&lt;=4"),COUNTIFS(REGISTRE_RISQUES!$L$5:$L$40,"&gt;=1",REGISTRE_RISQUES!$L$5:$L$40,"&lt;=4",REGISTRE_RISQUES!$C$5:$C$40,$I$6))</x:f>
        <x:v>1</x:v>
      </x:c>
      <x:c r="D18" s="58"/>
      <x:c r="E18" s="58"/>
      <x:c r="F18" s="58"/>
      <x:c r="G18" s="58"/>
      <x:c r="H18" s="58"/>
      <x:c r="I18" s="58" t="str">
        <x:v>SCORE MOYEN APRÈS CONTRÔLE</x:v>
      </x:c>
      <x:c r="J18" s="58"/>
      <x:c r="K18" s="58"/>
      <x:c r="L18" s="58"/>
      <x:c r="M18" s="58"/>
      <x:c r="N18" s="107" t="n">
        <x:f>IFERROR(IF($I$6="Tous les risques",AVERAGE(REGISTRE_RISQUES!L5:L40),AVERAGEIF(REGISTRE_RISQUES!C5:C40,$I$6,REGISTRE_RISQUES!L5:L40)),0)</x:f>
        <x:v>9.083333333333334</x:v>
      </x:c>
      <x:c r="O18" s="108"/>
      <x:c r="P18" s="108"/>
    </x:row>
    <x:row r="19" ht="27" customHeight="1">
      <x:c r="A19" s="82" t="str">
        <x:v>Modéré</x:v>
      </x:c>
      <x:c r="B19" s="82" t="n">
        <x:f>IF($I$6="Tous les risques",COUNTIFS(REGISTRE_RISQUES!$F$5:$F$40,"&gt;=5",REGISTRE_RISQUES!$F$5:$F$40,"&lt;=8"),COUNTIFS(REGISTRE_RISQUES!$F$5:$F$40,"&gt;=5",REGISTRE_RISQUES!$F$5:$F$40,"&lt;=8",REGISTRE_RISQUES!$C$5:$C$40,$I$6))</x:f>
        <x:v>1</x:v>
      </x:c>
      <x:c r="C19" s="82" t="n">
        <x:f>IF($I$6="Tous les risques",COUNTIFS(REGISTRE_RISQUES!$L$5:$L$40,"&gt;=5",REGISTRE_RISQUES!$L$5:$L$40,"&lt;=8"),COUNTIFS(REGISTRE_RISQUES!$L$5:$L$40,"&gt;=5",REGISTRE_RISQUES!$L$5:$L$40,"&lt;=8",REGISTRE_RISQUES!$C$5:$C$40,$I$6))</x:f>
        <x:v>16</x:v>
      </x:c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108"/>
      <x:c r="O19" s="108"/>
      <x:c r="P19" s="108"/>
    </x:row>
    <x:row r="20" ht="27" customHeight="1">
      <x:c r="A20" s="82" t="str">
        <x:v>Élevé</x:v>
      </x:c>
      <x:c r="B20" s="82" t="n">
        <x:f>IF($I$6="Tous les risques",COUNTIFS(REGISTRE_RISQUES!$F$5:$F$40,"&gt;=9",REGISTRE_RISQUES!$F$5:$F$40,"&lt;=14"),COUNTIFS(REGISTRE_RISQUES!$F$5:$F$40,"&gt;=9",REGISTRE_RISQUES!$F$5:$F$40,"&lt;=14",REGISTRE_RISQUES!$C$5:$C$40,$I$6))</x:f>
        <x:v>23</x:v>
      </x:c>
      <x:c r="C20" s="82" t="n">
        <x:f>IF($I$6="Tous les risques",COUNTIFS(REGISTRE_RISQUES!$L$5:$L$40,"&gt;=9",REGISTRE_RISQUES!$L$5:$L$40,"&lt;=14"),COUNTIFS(REGISTRE_RISQUES!$L$5:$L$40,"&gt;=9",REGISTRE_RISQUES!$L$5:$L$40,"&lt;=14",REGISTRE_RISQUES!$C$5:$C$40,$I$6))</x:f>
        <x:v>16</x:v>
      </x:c>
      <x:c r="D20" s="58"/>
      <x:c r="E20" s="58"/>
      <x:c r="F20" s="58"/>
      <x:c r="G20" s="58"/>
      <x:c r="H20" s="58"/>
      <x:c r="I20" s="58" t="str">
        <x:v>BAISSE MOYENNE DU SCORE</x:v>
      </x:c>
      <x:c r="J20" s="58"/>
      <x:c r="K20" s="58"/>
      <x:c r="L20" s="58"/>
      <x:c r="M20" s="58"/>
      <x:c r="N20" s="119" t="n">
        <x:f>IFERROR(1-N18/I10,0)</x:f>
        <x:v>0.2797356828193832</x:v>
      </x:c>
      <x:c r="O20" s="108"/>
      <x:c r="P20" s="108"/>
    </x:row>
    <x:row r="21" ht="27" customHeight="1">
      <x:c r="A21" s="82" t="str">
        <x:v>Critique</x:v>
      </x:c>
      <x:c r="B21" s="82" t="n">
        <x:f>IF($I$6="Tous les risques",COUNTIFS(REGISTRE_RISQUES!$F$5:$F$40,"&gt;=15",REGISTRE_RISQUES!$F$5:$F$40,"&lt;=25"),COUNTIFS(REGISTRE_RISQUES!$F$5:$F$40,"&gt;=15",REGISTRE_RISQUES!$F$5:$F$40,"&lt;=25",REGISTRE_RISQUES!$C$5:$C$40,$I$6))</x:f>
        <x:v>12</x:v>
      </x:c>
      <x:c r="C21" s="82" t="n">
        <x:f>IF($I$6="Tous les risques",COUNTIFS(REGISTRE_RISQUES!$L$5:$L$40,"&gt;=15",REGISTRE_RISQUES!$L$5:$L$40,"&lt;=25"),COUNTIFS(REGISTRE_RISQUES!$L$5:$L$40,"&gt;=15",REGISTRE_RISQUES!$L$5:$L$40,"&lt;=25",REGISTRE_RISQUES!$C$5:$C$40,$I$6))</x:f>
        <x:v>3</x:v>
      </x:c>
      <x:c r="D21" s="58"/>
      <x:c r="E21" s="58"/>
      <x:c r="F21" s="58"/>
      <x:c r="G21" s="58"/>
      <x:c r="H21" s="58"/>
      <x:c r="I21" s="58"/>
      <x:c r="J21" s="58"/>
      <x:c r="K21" s="58"/>
      <x:c r="L21" s="58"/>
      <x:c r="M21" s="58"/>
      <x:c r="N21" s="108"/>
      <x:c r="O21" s="108"/>
      <x:c r="P21" s="108"/>
    </x:row>
    <x:row r="22">
      <x:c r="A22" s="58"/>
      <x:c r="B22" s="58"/>
      <x:c r="C22" s="58"/>
      <x:c r="D22" s="58"/>
      <x:c r="E22" s="58"/>
      <x:c r="F22" s="58"/>
      <x:c r="G22" s="58"/>
      <x:c r="H22" s="58"/>
      <x:c r="I22" s="58"/>
      <x:c r="J22" s="58"/>
      <x:c r="K22" s="58"/>
      <x:c r="L22" s="58"/>
      <x:c r="M22" s="58"/>
      <x:c r="N22" s="58"/>
      <x:c r="O22" s="58"/>
      <x:c r="P22" s="58"/>
    </x:row>
    <x:row r="23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  <x:c r="N23" s="58"/>
      <x:c r="O23" s="58"/>
      <x:c r="P23" s="58"/>
    </x:row>
    <x:row r="24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  <x:c r="L24" s="58"/>
      <x:c r="M24" s="58"/>
      <x:c r="N24" s="58"/>
      <x:c r="O24" s="58"/>
      <x:c r="P24" s="58"/>
    </x:row>
    <x:row r="25" ht="28" customHeight="1">
      <x:c r="A25" s="15" t="str">
        <x:v>03  |  SYNTHÈSE DU PROFIL DE RISQUE ET ORIENTATIONS MANAGÉRIALES</x:v>
      </x:c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</x:row>
    <x:row r="26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  <x:c r="L26" s="58"/>
      <x:c r="M26" s="58"/>
      <x:c r="N26" s="58"/>
      <x:c r="O26" s="58"/>
      <x:c r="P26" s="58"/>
    </x:row>
    <x:row r="27">
      <x:c r="A27" s="126" t="str">
        <x:f>IF(E10&gt;0,"ALERTE : "&amp;E10&amp;" risque(s) critiques détectés avant mesures. Prioriser les contrôles sur les scores les plus élevés et suivre leur risque résiduel.","PROFIL SOUS SURVEILLANCE : aucun risque brut critique dans le périmètre retenu. Maintenir les contrôles et la revue périodique.")</x:f>
        <x:v>ALERTE : 12 risque(s) critiques détectés avant mesures. Prioriser les contrôles sur les scores les plus élevés et suivre leur risque résiduel.</x:v>
      </x:c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126"/>
      <x:c r="M27" s="126"/>
      <x:c r="N27" s="126"/>
      <x:c r="O27" s="126"/>
      <x:c r="P27" s="126"/>
    </x:row>
    <x:row r="28">
      <x:c r="A28" s="126"/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126"/>
      <x:c r="M28" s="126"/>
      <x:c r="N28" s="126"/>
      <x:c r="O28" s="126"/>
      <x:c r="P28" s="126"/>
    </x:row>
    <x:row r="29">
      <x:c r="A29" s="126"/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126"/>
      <x:c r="M29" s="126"/>
      <x:c r="N29" s="126"/>
      <x:c r="O29" s="126"/>
      <x:c r="P29" s="126"/>
    </x:row>
    <x:row r="30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  <x:c r="O30" s="58"/>
      <x:c r="P30" s="58"/>
    </x:row>
    <x:row r="31" ht="27" customHeight="1">
      <x:c r="A31" s="15" t="str">
        <x:v>04  |  MATRICE DE CRITICITÉ (SYNTHÈSE AUTOMATIQUE)</x:v>
      </x:c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</x:row>
    <x:row r="32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  <x:c r="O32" s="58"/>
      <x:c r="P32" s="58"/>
    </x:row>
    <x:row r="33">
      <x:c r="A33" s="58"/>
      <x:c r="B33" s="58"/>
      <x:c r="C33" s="58"/>
      <x:c r="D33" s="58"/>
      <x:c r="E33" s="58"/>
      <x:c r="F33" s="58" t="n">
        <x:v>1</x:v>
      </x:c>
      <x:c r="G33" s="58" t="n">
        <x:v>2</x:v>
      </x:c>
      <x:c r="H33" s="58" t="n">
        <x:v>3</x:v>
      </x:c>
      <x:c r="I33" s="58" t="n">
        <x:v>4</x:v>
      </x:c>
      <x:c r="J33" s="58" t="n">
        <x:v>5</x:v>
      </x:c>
      <x:c r="K33" s="58"/>
      <x:c r="L33" s="58"/>
      <x:c r="M33" s="58"/>
      <x:c r="N33" s="58"/>
      <x:c r="O33" s="58"/>
      <x:c r="P33" s="58"/>
    </x:row>
    <x:row r="34" ht="28" customHeight="1">
      <x:c r="A34" s="58"/>
      <x:c r="B34" s="58"/>
      <x:c r="C34" s="58"/>
      <x:c r="D34" s="58"/>
      <x:c r="E34" s="58" t="n">
        <x:v>5</x:v>
      </x:c>
      <x:c r="F34" s="133" t="n">
        <x:f>IF($I$6="Tous les risques",COUNTIFS(REGISTRE_RISQUES!$D$5:$D$40,$E34,REGISTRE_RISQUES!$E$5:$E$40,1),COUNTIFS(REGISTRE_RISQUES!$D$5:$D$40,$E34,REGISTRE_RISQUES!$E$5:$E$40,1,REGISTRE_RISQUES!$C$5:$C$40,$I$6))</x:f>
        <x:v>0</x:v>
      </x:c>
      <x:c r="G34" s="141" t="n">
        <x:f>IF($I$6="Tous les risques",COUNTIFS(REGISTRE_RISQUES!$D$5:$D$40,$E34,REGISTRE_RISQUES!$E$5:$E$40,2),COUNTIFS(REGISTRE_RISQUES!$D$5:$D$40,$E34,REGISTRE_RISQUES!$E$5:$E$40,2,REGISTRE_RISQUES!$C$5:$C$40,$I$6))</x:f>
        <x:v>0</x:v>
      </x:c>
      <x:c r="H34" s="149" t="n">
        <x:f>IF($I$6="Tous les risques",COUNTIFS(REGISTRE_RISQUES!$D$5:$D$40,$E34,REGISTRE_RISQUES!$E$5:$E$40,3),COUNTIFS(REGISTRE_RISQUES!$D$5:$D$40,$E34,REGISTRE_RISQUES!$E$5:$E$40,3,REGISTRE_RISQUES!$C$5:$C$40,$I$6))</x:f>
        <x:v>0</x:v>
      </x:c>
      <x:c r="I34" s="149" t="n">
        <x:f>IF($I$6="Tous les risques",COUNTIFS(REGISTRE_RISQUES!$D$5:$D$40,$E34,REGISTRE_RISQUES!$E$5:$E$40,4),COUNTIFS(REGISTRE_RISQUES!$D$5:$D$40,$E34,REGISTRE_RISQUES!$E$5:$E$40,4,REGISTRE_RISQUES!$C$5:$C$40,$I$6))</x:f>
        <x:v>0</x:v>
      </x:c>
      <x:c r="J34" s="149" t="n">
        <x:f>IF($I$6="Tous les risques",COUNTIFS(REGISTRE_RISQUES!$D$5:$D$40,$E34,REGISTRE_RISQUES!$E$5:$E$40,5),COUNTIFS(REGISTRE_RISQUES!$D$5:$D$40,$E34,REGISTRE_RISQUES!$E$5:$E$40,5,REGISTRE_RISQUES!$C$5:$C$40,$I$6))</x:f>
        <x:v>0</x:v>
      </x:c>
      <x:c r="K34" s="58"/>
      <x:c r="L34" s="162" t="str">
        <x:v>Vert : faible (1–4)
Jaune : modéré (5–8)
Orange : élevé (9–14)
Rouge : critique (15–25)</x:v>
      </x:c>
      <x:c r="M34" s="162"/>
      <x:c r="N34" s="162"/>
      <x:c r="O34" s="162"/>
      <x:c r="P34" s="162"/>
    </x:row>
    <x:row r="35" ht="28" customHeight="1">
      <x:c r="A35" s="58"/>
      <x:c r="B35" s="58"/>
      <x:c r="C35" s="58"/>
      <x:c r="D35" s="58"/>
      <x:c r="E35" s="58" t="n">
        <x:v>4</x:v>
      </x:c>
      <x:c r="F35" s="156" t="n">
        <x:f>IF($I$6="Tous les risques",COUNTIFS(REGISTRE_RISQUES!$D$5:$D$40,$E35,REGISTRE_RISQUES!$E$5:$E$40,1),COUNTIFS(REGISTRE_RISQUES!$D$5:$D$40,$E35,REGISTRE_RISQUES!$E$5:$E$40,1,REGISTRE_RISQUES!$C$5:$C$40,$I$6))</x:f>
        <x:v>0</x:v>
      </x:c>
      <x:c r="G35" s="133" t="n">
        <x:f>IF($I$6="Tous les risques",COUNTIFS(REGISTRE_RISQUES!$D$5:$D$40,$E35,REGISTRE_RISQUES!$E$5:$E$40,2),COUNTIFS(REGISTRE_RISQUES!$D$5:$D$40,$E35,REGISTRE_RISQUES!$E$5:$E$40,2,REGISTRE_RISQUES!$C$5:$C$40,$I$6))</x:f>
        <x:v>0</x:v>
      </x:c>
      <x:c r="H35" s="141" t="n">
        <x:f>IF($I$6="Tous les risques",COUNTIFS(REGISTRE_RISQUES!$D$5:$D$40,$E35,REGISTRE_RISQUES!$E$5:$E$40,3),COUNTIFS(REGISTRE_RISQUES!$D$5:$D$40,$E35,REGISTRE_RISQUES!$E$5:$E$40,3,REGISTRE_RISQUES!$C$5:$C$40,$I$6))</x:f>
        <x:v>4</x:v>
      </x:c>
      <x:c r="I35" s="149" t="n">
        <x:f>IF($I$6="Tous les risques",COUNTIFS(REGISTRE_RISQUES!$D$5:$D$40,$E35,REGISTRE_RISQUES!$E$5:$E$40,4),COUNTIFS(REGISTRE_RISQUES!$D$5:$D$40,$E35,REGISTRE_RISQUES!$E$5:$E$40,4,REGISTRE_RISQUES!$C$5:$C$40,$I$6))</x:f>
        <x:v>6</x:v>
      </x:c>
      <x:c r="J35" s="149" t="n">
        <x:f>IF($I$6="Tous les risques",COUNTIFS(REGISTRE_RISQUES!$D$5:$D$40,$E35,REGISTRE_RISQUES!$E$5:$E$40,5),COUNTIFS(REGISTRE_RISQUES!$D$5:$D$40,$E35,REGISTRE_RISQUES!$E$5:$E$40,5,REGISTRE_RISQUES!$C$5:$C$40,$I$6))</x:f>
        <x:v>2</x:v>
      </x:c>
      <x:c r="K35" s="58"/>
      <x:c r="L35" s="162"/>
      <x:c r="M35" s="162"/>
      <x:c r="N35" s="162"/>
      <x:c r="O35" s="162"/>
      <x:c r="P35" s="162"/>
    </x:row>
    <x:row r="36" ht="28" customHeight="1">
      <x:c r="A36" s="58"/>
      <x:c r="B36" s="58"/>
      <x:c r="C36" s="58"/>
      <x:c r="D36" s="58"/>
      <x:c r="E36" s="58" t="n">
        <x:v>3</x:v>
      </x:c>
      <x:c r="F36" s="156" t="n">
        <x:f>IF($I$6="Tous les risques",COUNTIFS(REGISTRE_RISQUES!$D$5:$D$40,$E36,REGISTRE_RISQUES!$E$5:$E$40,1),COUNTIFS(REGISTRE_RISQUES!$D$5:$D$40,$E36,REGISTRE_RISQUES!$E$5:$E$40,1,REGISTRE_RISQUES!$C$5:$C$40,$I$6))</x:f>
        <x:v>0</x:v>
      </x:c>
      <x:c r="G36" s="133" t="n">
        <x:f>IF($I$6="Tous les risques",COUNTIFS(REGISTRE_RISQUES!$D$5:$D$40,$E36,REGISTRE_RISQUES!$E$5:$E$40,2),COUNTIFS(REGISTRE_RISQUES!$D$5:$D$40,$E36,REGISTRE_RISQUES!$E$5:$E$40,2,REGISTRE_RISQUES!$C$5:$C$40,$I$6))</x:f>
        <x:v>0</x:v>
      </x:c>
      <x:c r="H36" s="141" t="n">
        <x:f>IF($I$6="Tous les risques",COUNTIFS(REGISTRE_RISQUES!$D$5:$D$40,$E36,REGISTRE_RISQUES!$E$5:$E$40,3),COUNTIFS(REGISTRE_RISQUES!$D$5:$D$40,$E36,REGISTRE_RISQUES!$E$5:$E$40,3,REGISTRE_RISQUES!$C$5:$C$40,$I$6))</x:f>
        <x:v>6</x:v>
      </x:c>
      <x:c r="I36" s="141" t="n">
        <x:f>IF($I$6="Tous les risques",COUNTIFS(REGISTRE_RISQUES!$D$5:$D$40,$E36,REGISTRE_RISQUES!$E$5:$E$40,4),COUNTIFS(REGISTRE_RISQUES!$D$5:$D$40,$E36,REGISTRE_RISQUES!$E$5:$E$40,4,REGISTRE_RISQUES!$C$5:$C$40,$I$6))</x:f>
        <x:v>9</x:v>
      </x:c>
      <x:c r="J36" s="149" t="n">
        <x:f>IF($I$6="Tous les risques",COUNTIFS(REGISTRE_RISQUES!$D$5:$D$40,$E36,REGISTRE_RISQUES!$E$5:$E$40,5),COUNTIFS(REGISTRE_RISQUES!$D$5:$D$40,$E36,REGISTRE_RISQUES!$E$5:$E$40,5,REGISTRE_RISQUES!$C$5:$C$40,$I$6))</x:f>
        <x:v>4</x:v>
      </x:c>
      <x:c r="K36" s="58"/>
      <x:c r="L36" s="162"/>
      <x:c r="M36" s="162"/>
      <x:c r="N36" s="162"/>
      <x:c r="O36" s="162"/>
      <x:c r="P36" s="162"/>
    </x:row>
    <x:row r="37" ht="28" customHeight="1">
      <x:c r="A37" s="58"/>
      <x:c r="B37" s="58"/>
      <x:c r="C37" s="58"/>
      <x:c r="D37" s="58"/>
      <x:c r="E37" s="58" t="n">
        <x:v>2</x:v>
      </x:c>
      <x:c r="F37" s="156" t="n">
        <x:f>IF($I$6="Tous les risques",COUNTIFS(REGISTRE_RISQUES!$D$5:$D$40,$E37,REGISTRE_RISQUES!$E$5:$E$40,1),COUNTIFS(REGISTRE_RISQUES!$D$5:$D$40,$E37,REGISTRE_RISQUES!$E$5:$E$40,1,REGISTRE_RISQUES!$C$5:$C$40,$I$6))</x:f>
        <x:v>0</x:v>
      </x:c>
      <x:c r="G37" s="156" t="n">
        <x:f>IF($I$6="Tous les risques",COUNTIFS(REGISTRE_RISQUES!$D$5:$D$40,$E37,REGISTRE_RISQUES!$E$5:$E$40,2),COUNTIFS(REGISTRE_RISQUES!$D$5:$D$40,$E37,REGISTRE_RISQUES!$E$5:$E$40,2,REGISTRE_RISQUES!$C$5:$C$40,$I$6))</x:f>
        <x:v>0</x:v>
      </x:c>
      <x:c r="H37" s="133" t="n">
        <x:f>IF($I$6="Tous les risques",COUNTIFS(REGISTRE_RISQUES!$D$5:$D$40,$E37,REGISTRE_RISQUES!$E$5:$E$40,3),COUNTIFS(REGISTRE_RISQUES!$D$5:$D$40,$E37,REGISTRE_RISQUES!$E$5:$E$40,3,REGISTRE_RISQUES!$C$5:$C$40,$I$6))</x:f>
        <x:v>0</x:v>
      </x:c>
      <x:c r="I37" s="133" t="n">
        <x:f>IF($I$6="Tous les risques",COUNTIFS(REGISTRE_RISQUES!$D$5:$D$40,$E37,REGISTRE_RISQUES!$E$5:$E$40,4),COUNTIFS(REGISTRE_RISQUES!$D$5:$D$40,$E37,REGISTRE_RISQUES!$E$5:$E$40,4,REGISTRE_RISQUES!$C$5:$C$40,$I$6))</x:f>
        <x:v>1</x:v>
      </x:c>
      <x:c r="J37" s="141" t="n">
        <x:f>IF($I$6="Tous les risques",COUNTIFS(REGISTRE_RISQUES!$D$5:$D$40,$E37,REGISTRE_RISQUES!$E$5:$E$40,5),COUNTIFS(REGISTRE_RISQUES!$D$5:$D$40,$E37,REGISTRE_RISQUES!$E$5:$E$40,5,REGISTRE_RISQUES!$C$5:$C$40,$I$6))</x:f>
        <x:v>4</x:v>
      </x:c>
      <x:c r="K37" s="58"/>
      <x:c r="L37" s="162"/>
      <x:c r="M37" s="162"/>
      <x:c r="N37" s="162"/>
      <x:c r="O37" s="162"/>
      <x:c r="P37" s="162"/>
    </x:row>
    <x:row r="38" ht="28" customHeight="1">
      <x:c r="A38" s="58"/>
      <x:c r="B38" s="58"/>
      <x:c r="C38" s="58"/>
      <x:c r="D38" s="58"/>
      <x:c r="E38" s="58" t="n">
        <x:v>1</x:v>
      </x:c>
      <x:c r="F38" s="156" t="n">
        <x:f>IF($I$6="Tous les risques",COUNTIFS(REGISTRE_RISQUES!$D$5:$D$40,$E38,REGISTRE_RISQUES!$E$5:$E$40,1),COUNTIFS(REGISTRE_RISQUES!$D$5:$D$40,$E38,REGISTRE_RISQUES!$E$5:$E$40,1,REGISTRE_RISQUES!$C$5:$C$40,$I$6))</x:f>
        <x:v>0</x:v>
      </x:c>
      <x:c r="G38" s="156" t="n">
        <x:f>IF($I$6="Tous les risques",COUNTIFS(REGISTRE_RISQUES!$D$5:$D$40,$E38,REGISTRE_RISQUES!$E$5:$E$40,2),COUNTIFS(REGISTRE_RISQUES!$D$5:$D$40,$E38,REGISTRE_RISQUES!$E$5:$E$40,2,REGISTRE_RISQUES!$C$5:$C$40,$I$6))</x:f>
        <x:v>0</x:v>
      </x:c>
      <x:c r="H38" s="156" t="n">
        <x:f>IF($I$6="Tous les risques",COUNTIFS(REGISTRE_RISQUES!$D$5:$D$40,$E38,REGISTRE_RISQUES!$E$5:$E$40,3),COUNTIFS(REGISTRE_RISQUES!$D$5:$D$40,$E38,REGISTRE_RISQUES!$E$5:$E$40,3,REGISTRE_RISQUES!$C$5:$C$40,$I$6))</x:f>
        <x:v>0</x:v>
      </x:c>
      <x:c r="I38" s="156" t="n">
        <x:f>IF($I$6="Tous les risques",COUNTIFS(REGISTRE_RISQUES!$D$5:$D$40,$E38,REGISTRE_RISQUES!$E$5:$E$40,4),COUNTIFS(REGISTRE_RISQUES!$D$5:$D$40,$E38,REGISTRE_RISQUES!$E$5:$E$40,4,REGISTRE_RISQUES!$C$5:$C$40,$I$6))</x:f>
        <x:v>0</x:v>
      </x:c>
      <x:c r="J38" s="133" t="n">
        <x:f>IF($I$6="Tous les risques",COUNTIFS(REGISTRE_RISQUES!$D$5:$D$40,$E38,REGISTRE_RISQUES!$E$5:$E$40,5),COUNTIFS(REGISTRE_RISQUES!$D$5:$D$40,$E38,REGISTRE_RISQUES!$E$5:$E$40,5,REGISTRE_RISQUES!$C$5:$C$40,$I$6))</x:f>
        <x:v>0</x:v>
      </x:c>
      <x:c r="K38" s="58"/>
      <x:c r="L38" s="58"/>
      <x:c r="M38" s="58"/>
      <x:c r="N38" s="58"/>
      <x:c r="O38" s="58"/>
      <x:c r="P38" s="58"/>
    </x:row>
    <x:row r="39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  <x:c r="P39" s="58"/>
    </x:row>
    <x:row r="40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  <x:c r="O40" s="58"/>
      <x:c r="P40" s="58"/>
    </x:row>
    <x:row r="41">
      <x:c r="A41" s="167" t="str">
        <x:v>DONNÉES FICTIVES  •  Scoring 1–5  •  Modifier les risques dans REGISTRE_RISQUES  •  Détail : MATRICE_5x5 et PLAN_MITIGATION</x:v>
      </x:c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  <x:c r="P41" s="167"/>
    </x:row>
    <x:row r="42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</x:row>
    <x:row r="43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  <x:c r="L43" s="58"/>
      <x:c r="M43" s="58"/>
      <x:c r="N43" s="58"/>
      <x:c r="O43" s="58"/>
      <x:c r="P43" s="58"/>
    </x:row>
  </x:sheetData>
  <x:mergeCells>
    <x:mergeCell ref="A1:P3"/>
    <x:mergeCell ref="A4:P4"/>
    <x:mergeCell ref="A6:D6"/>
    <x:mergeCell ref="E6:H6"/>
    <x:mergeCell ref="I6:L6"/>
    <x:mergeCell ref="M6:P6"/>
    <x:mergeCell ref="A9:D9"/>
    <x:mergeCell ref="A10:D12"/>
    <x:mergeCell ref="E9:H9"/>
    <x:mergeCell ref="E10:H12"/>
    <x:mergeCell ref="I9:L9"/>
    <x:mergeCell ref="I10:L12"/>
    <x:mergeCell ref="M9:P9"/>
    <x:mergeCell ref="M10:P12"/>
    <x:mergeCell ref="A15:H15"/>
    <x:mergeCell ref="I15:P15"/>
    <x:mergeCell ref="I18:M18"/>
    <x:mergeCell ref="N18:P19"/>
    <x:mergeCell ref="I20:M20"/>
    <x:mergeCell ref="N20:P21"/>
    <x:mergeCell ref="A25:P25"/>
    <x:mergeCell ref="A27:P29"/>
    <x:mergeCell ref="A31:P31"/>
    <x:mergeCell ref="L34:P37"/>
    <x:mergeCell ref="A41:P42"/>
  </x:mergeCells>
  <x:dataValidations count="1">
    <x:dataValidation type="list" sqref="I6">
      <x:formula1>"Tous les risques,Financier,Opérationnel,Conformité,Cyber &amp; SI,Stratégique"</x:formula1>
    </x:dataValidation>
  </x:dataValidations>
  <x:pageMargins left="0.7" right="0.7" top="0.75" bottom="0.75" header="0.3" footer="0.3"/>
  <x:drawing xmlns:r="http://schemas.openxmlformats.org/officeDocument/2006/relationships" r:id="R0f77262ffbd94bf7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18" hidden="0" customWidth="1"/>
    <x:col min="4" max="4" width="17" hidden="0" customWidth="1"/>
    <x:col min="5" max="5" width="15" hidden="0" customWidth="1"/>
    <x:col min="6" max="6" width="14" hidden="0" customWidth="1"/>
    <x:col min="7" max="7" width="16" hidden="0" customWidth="1"/>
    <x:col min="8" max="8" width="19" hidden="0" customWidth="1"/>
    <x:col min="9" max="9" width="43" hidden="0" customWidth="1"/>
    <x:col min="10" max="10" width="18" hidden="0" customWidth="1"/>
    <x:col min="11" max="11" width="18" hidden="0" customWidth="1"/>
    <x:col min="12" max="12" width="16" hidden="0" customWidth="1"/>
    <x:col min="13" max="13" width="17" hidden="0" customWidth="1"/>
    <x:col min="14" max="14" width="14" hidden="0" customWidth="1"/>
    <x:col min="15" max="15" width="35" hidden="0" customWidth="1"/>
    <x:col min="16" max="16" width="16" hidden="0" customWidth="1"/>
  </x:cols>
  <x:sheetData>
    <x:row r="1">
      <x:c r="A1" s="9" t="str">
        <x:v>REGISTRE DES RISQUES  |  NOVA GROUP MAROC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4" ht="29" customHeight="1">
      <x:c r="A4" s="4" t="str">
        <x:v>ID</x:v>
      </x:c>
      <x:c r="B4" s="4" t="str">
        <x:v>Risque</x:v>
      </x:c>
      <x:c r="C4" s="4" t="str">
        <x:v>Catégorie</x:v>
      </x:c>
      <x:c r="D4" s="4" t="str">
        <x:v>Probabilité (1-5)</x:v>
      </x:c>
      <x:c r="E4" s="4" t="str">
        <x:v>Impact (1-5)</x:v>
      </x:c>
      <x:c r="F4" s="4" t="str">
        <x:v>Score brut</x:v>
      </x:c>
      <x:c r="G4" s="4" t="str">
        <x:v>Niveau brut</x:v>
      </x:c>
      <x:c r="H4" s="4" t="str">
        <x:v>Responsable</x:v>
      </x:c>
      <x:c r="I4" s="4" t="str">
        <x:v>Mesure d'atténuation</x:v>
      </x:c>
      <x:c r="J4" s="4" t="str">
        <x:v>Prob. résiduelle</x:v>
      </x:c>
      <x:c r="K4" s="4" t="str">
        <x:v>Impact résiduel</x:v>
      </x:c>
      <x:c r="L4" s="4" t="str">
        <x:v>Score résiduel</x:v>
      </x:c>
      <x:c r="M4" s="4" t="str">
        <x:v>Niveau résiduel</x:v>
      </x:c>
      <x:c r="N4" s="4" t="str">
        <x:v>Statut</x:v>
      </x:c>
      <x:c r="O4" s="4" t="str">
        <x:v>KRI / suivi</x:v>
      </x:c>
      <x:c r="P4" s="4" t="str">
        <x:v>Échéance</x:v>
      </x:c>
    </x:row>
    <x:row r="5" ht="25" customHeight="1">
      <x:c r="A5" t="str">
        <x:v>R001</x:v>
      </x:c>
      <x:c r="B5" t="str">
        <x:v>Liquidité insuffisante</x:v>
      </x:c>
      <x:c r="C5" t="str">
        <x:v>Financier</x:v>
      </x:c>
      <x:c r="D5" t="n">
        <x:v>4</x:v>
      </x:c>
      <x:c r="E5" t="n">
        <x:v>5</x:v>
      </x:c>
      <x:c r="F5" t="n">
        <x:f>D5*E5</x:f>
        <x:v>20</x:v>
      </x:c>
      <x:c r="G5" t="str">
        <x:f>IF(F5&gt;=15,"Critique",IF(F5&gt;=9,"Élevé",IF(F5&gt;=5,"Modéré","Faible")))</x:f>
        <x:v>Critique</x:v>
      </x:c>
      <x:c r="H5" t="str">
        <x:v>Trésorerie</x:v>
      </x:c>
      <x:c r="I5" t="str">
        <x:v>Stress de liquidité, lignes de crédit</x:v>
      </x:c>
      <x:c r="J5" t="n">
        <x:v>3</x:v>
      </x:c>
      <x:c r="K5" t="n">
        <x:v>5</x:v>
      </x:c>
      <x:c r="L5" t="n">
        <x:f>J5*K5</x:f>
        <x:v>15</x:v>
      </x:c>
      <x:c r="M5" t="str">
        <x:f>IF(L5&gt;=15,"Critique",IF(L5&gt;=9,"Élevé",IF(L5&gt;=5,"Modéré","Faible")))</x:f>
        <x:v>Critique</x:v>
      </x:c>
      <x:c r="N5" t="str">
        <x:v>Planifié</x:v>
      </x:c>
      <x:c r="O5" t="str">
        <x:v>Contrôle des flux hebdomadaire</x:v>
      </x:c>
      <x:c r="P5" t="str">
        <x:v>T2 2027</x:v>
      </x:c>
    </x:row>
    <x:row r="6" ht="25" customHeight="1">
      <x:c r="A6" t="str">
        <x:v>R002</x:v>
      </x:c>
      <x:c r="B6" t="str">
        <x:v>Risque de taux</x:v>
      </x:c>
      <x:c r="C6" t="str">
        <x:v>Financier</x:v>
      </x:c>
      <x:c r="D6" t="n">
        <x:v>4</x:v>
      </x:c>
      <x:c r="E6" t="n">
        <x:v>4</x:v>
      </x:c>
      <x:c r="F6" t="n">
        <x:f>D6*E6</x:f>
        <x:v>16</x:v>
      </x:c>
      <x:c r="G6" t="str">
        <x:f>IF(F6&gt;=15,"Critique",IF(F6&gt;=9,"Élevé",IF(F6&gt;=5,"Modéré","Faible")))</x:f>
        <x:v>Critique</x:v>
      </x:c>
      <x:c r="H6" t="str">
        <x:v>Trésorerie</x:v>
      </x:c>
      <x:c r="I6" t="str">
        <x:v>Couverture et limites de duration</x:v>
      </x:c>
      <x:c r="J6" t="n">
        <x:v>3</x:v>
      </x:c>
      <x:c r="K6" t="n">
        <x:v>4</x:v>
      </x:c>
      <x:c r="L6" t="n">
        <x:f>J6*K6</x:f>
        <x:v>12</x:v>
      </x:c>
      <x:c r="M6" t="str">
        <x:f>IF(L6&gt;=15,"Critique",IF(L6&gt;=9,"Élevé",IF(L6&gt;=5,"Modéré","Faible")))</x:f>
        <x:v>Élevé</x:v>
      </x:c>
      <x:c r="N6" t="str">
        <x:v>Terminé</x:v>
      </x:c>
      <x:c r="O6" t="str">
        <x:v>Revue mensuelle exposition</x:v>
      </x:c>
      <x:c r="P6" t="str">
        <x:v>T3 2027</x:v>
      </x:c>
    </x:row>
    <x:row r="7" ht="25" customHeight="1">
      <x:c r="A7" t="str">
        <x:v>R003</x:v>
      </x:c>
      <x:c r="B7" t="str">
        <x:v>Impayés clients</x:v>
      </x:c>
      <x:c r="C7" t="str">
        <x:v>Financier</x:v>
      </x:c>
      <x:c r="D7" t="n">
        <x:v>4</x:v>
      </x:c>
      <x:c r="E7" t="n">
        <x:v>4</x:v>
      </x:c>
      <x:c r="F7" t="n">
        <x:f>D7*E7</x:f>
        <x:v>16</x:v>
      </x:c>
      <x:c r="G7" t="str">
        <x:f>IF(F7&gt;=15,"Critique",IF(F7&gt;=9,"Élevé",IF(F7&gt;=5,"Modéré","Faible")))</x:f>
        <x:v>Critique</x:v>
      </x:c>
      <x:c r="H7" t="str">
        <x:v>Crédit</x:v>
      </x:c>
      <x:c r="I7" t="str">
        <x:v>Scoring et relances structurées</x:v>
      </x:c>
      <x:c r="J7" t="n">
        <x:v>3</x:v>
      </x:c>
      <x:c r="K7" t="n">
        <x:v>4</x:v>
      </x:c>
      <x:c r="L7" t="n">
        <x:f>J7*K7</x:f>
        <x:v>12</x:v>
      </x:c>
      <x:c r="M7" t="str">
        <x:f>IF(L7&gt;=15,"Critique",IF(L7&gt;=9,"Élevé",IF(L7&gt;=5,"Modéré","Faible")))</x:f>
        <x:v>Élevé</x:v>
      </x:c>
      <x:c r="N7" t="str">
        <x:v>En cours</x:v>
      </x:c>
      <x:c r="O7" t="str">
        <x:v>DSO et retards &gt;60j</x:v>
      </x:c>
      <x:c r="P7" t="str">
        <x:v>T1 2027</x:v>
      </x:c>
    </x:row>
    <x:row r="8" ht="25" customHeight="1">
      <x:c r="A8" t="str">
        <x:v>R004</x:v>
      </x:c>
      <x:c r="B8" t="str">
        <x:v>Risque de change</x:v>
      </x:c>
      <x:c r="C8" t="str">
        <x:v>Financier</x:v>
      </x:c>
      <x:c r="D8" t="n">
        <x:v>3</x:v>
      </x:c>
      <x:c r="E8" t="n">
        <x:v>4</x:v>
      </x:c>
      <x:c r="F8" t="n">
        <x:f>D8*E8</x:f>
        <x:v>12</x:v>
      </x:c>
      <x:c r="G8" t="str">
        <x:f>IF(F8&gt;=15,"Critique",IF(F8&gt;=9,"Élevé",IF(F8&gt;=5,"Modéré","Faible")))</x:f>
        <x:v>Élevé</x:v>
      </x:c>
      <x:c r="H8" t="str">
        <x:v>Trésorerie</x:v>
      </x:c>
      <x:c r="I8" t="str">
        <x:v>Couverture des achats en devises</x:v>
      </x:c>
      <x:c r="J8" t="n">
        <x:v>3</x:v>
      </x:c>
      <x:c r="K8" t="n">
        <x:v>4</x:v>
      </x:c>
      <x:c r="L8" t="n">
        <x:f>J8*K8</x:f>
        <x:v>12</x:v>
      </x:c>
      <x:c r="M8" t="str">
        <x:f>IF(L8&gt;=15,"Critique",IF(L8&gt;=9,"Élevé",IF(L8&gt;=5,"Modéré","Faible")))</x:f>
        <x:v>Élevé</x:v>
      </x:c>
      <x:c r="N8" t="str">
        <x:v>Planifié</x:v>
      </x:c>
      <x:c r="O8" t="str">
        <x:v>Position FX mensuelle</x:v>
      </x:c>
      <x:c r="P8" t="str">
        <x:v>T2 2027</x:v>
      </x:c>
    </x:row>
    <x:row r="9" ht="25" customHeight="1">
      <x:c r="A9" t="str">
        <x:v>R005</x:v>
      </x:c>
      <x:c r="B9" t="str">
        <x:v>Erreur prévision de cash</x:v>
      </x:c>
      <x:c r="C9" t="str">
        <x:v>Financier</x:v>
      </x:c>
      <x:c r="D9" t="n">
        <x:v>3</x:v>
      </x:c>
      <x:c r="E9" t="n">
        <x:v>4</x:v>
      </x:c>
      <x:c r="F9" t="n">
        <x:f>D9*E9</x:f>
        <x:v>12</x:v>
      </x:c>
      <x:c r="G9" t="str">
        <x:f>IF(F9&gt;=15,"Critique",IF(F9&gt;=9,"Élevé",IF(F9&gt;=5,"Modéré","Faible")))</x:f>
        <x:v>Élevé</x:v>
      </x:c>
      <x:c r="H9" t="str">
        <x:v>FP&amp;A</x:v>
      </x:c>
      <x:c r="I9" t="str">
        <x:v>Prévisions glissantes 13 semaines</x:v>
      </x:c>
      <x:c r="J9" t="n">
        <x:v>2</x:v>
      </x:c>
      <x:c r="K9" t="n">
        <x:v>3</x:v>
      </x:c>
      <x:c r="L9" t="n">
        <x:f>J9*K9</x:f>
        <x:v>6</x:v>
      </x:c>
      <x:c r="M9" t="str">
        <x:f>IF(L9&gt;=15,"Critique",IF(L9&gt;=9,"Élevé",IF(L9&gt;=5,"Modéré","Faible")))</x:f>
        <x:v>Modéré</x:v>
      </x:c>
      <x:c r="N9" t="str">
        <x:v>Terminé</x:v>
      </x:c>
      <x:c r="O9" t="str">
        <x:v>Écart prévision/réalisé</x:v>
      </x:c>
      <x:c r="P9" t="str">
        <x:v>T3 2027</x:v>
      </x:c>
    </x:row>
    <x:row r="10" ht="25" customHeight="1">
      <x:c r="A10" t="str">
        <x:v>R006</x:v>
      </x:c>
      <x:c r="B10" t="str">
        <x:v>Fraude aux paiements</x:v>
      </x:c>
      <x:c r="C10" t="str">
        <x:v>Financier</x:v>
      </x:c>
      <x:c r="D10" t="n">
        <x:v>2</x:v>
      </x:c>
      <x:c r="E10" t="n">
        <x:v>5</x:v>
      </x:c>
      <x:c r="F10" t="n">
        <x:f>D10*E10</x:f>
        <x:v>10</x:v>
      </x:c>
      <x:c r="G10" t="str">
        <x:f>IF(F10&gt;=15,"Critique",IF(F10&gt;=9,"Élevé",IF(F10&gt;=5,"Modéré","Faible")))</x:f>
        <x:v>Élevé</x:v>
      </x:c>
      <x:c r="H10" t="str">
        <x:v>Finance</x:v>
      </x:c>
      <x:c r="I10" t="str">
        <x:v>Double validation et séparation tâches</x:v>
      </x:c>
      <x:c r="J10" t="n">
        <x:v>1</x:v>
      </x:c>
      <x:c r="K10" t="n">
        <x:v>5</x:v>
      </x:c>
      <x:c r="L10" t="n">
        <x:f>J10*K10</x:f>
        <x:v>5</x:v>
      </x:c>
      <x:c r="M10" t="str">
        <x:f>IF(L10&gt;=15,"Critique",IF(L10&gt;=9,"Élevé",IF(L10&gt;=5,"Modéré","Faible")))</x:f>
        <x:v>Modéré</x:v>
      </x:c>
      <x:c r="N10" t="str">
        <x:v>En cours</x:v>
      </x:c>
      <x:c r="O10" t="str">
        <x:v>Audit autorisations</x:v>
      </x:c>
      <x:c r="P10" t="str">
        <x:v>T1 2027</x:v>
      </x:c>
    </x:row>
    <x:row r="11" ht="25" customHeight="1">
      <x:c r="A11" t="str">
        <x:v>R007</x:v>
      </x:c>
      <x:c r="B11" t="str">
        <x:v>Surcoût d'emprunt</x:v>
      </x:c>
      <x:c r="C11" t="str">
        <x:v>Financier</x:v>
      </x:c>
      <x:c r="D11" t="n">
        <x:v>3</x:v>
      </x:c>
      <x:c r="E11" t="n">
        <x:v>3</x:v>
      </x:c>
      <x:c r="F11" t="n">
        <x:f>D11*E11</x:f>
        <x:v>9</x:v>
      </x:c>
      <x:c r="G11" t="str">
        <x:f>IF(F11&gt;=15,"Critique",IF(F11&gt;=9,"Élevé",IF(F11&gt;=5,"Modéré","Faible")))</x:f>
        <x:v>Élevé</x:v>
      </x:c>
      <x:c r="H11" t="str">
        <x:v>Finance</x:v>
      </x:c>
      <x:c r="I11" t="str">
        <x:v>Renégociation et mix dette</x:v>
      </x:c>
      <x:c r="J11" t="n">
        <x:v>2</x:v>
      </x:c>
      <x:c r="K11" t="n">
        <x:v>3</x:v>
      </x:c>
      <x:c r="L11" t="n">
        <x:f>J11*K11</x:f>
        <x:v>6</x:v>
      </x:c>
      <x:c r="M11" t="str">
        <x:f>IF(L11&gt;=15,"Critique",IF(L11&gt;=9,"Élevé",IF(L11&gt;=5,"Modéré","Faible")))</x:f>
        <x:v>Modéré</x:v>
      </x:c>
      <x:c r="N11" t="str">
        <x:v>Planifié</x:v>
      </x:c>
      <x:c r="O11" t="str">
        <x:v>Coût moyen financement</x:v>
      </x:c>
      <x:c r="P11" t="str">
        <x:v>T2 2027</x:v>
      </x:c>
    </x:row>
    <x:row r="12" ht="25" customHeight="1">
      <x:c r="A12" t="str">
        <x:v>R008</x:v>
      </x:c>
      <x:c r="B12" t="str">
        <x:v>Dérive budgétaire</x:v>
      </x:c>
      <x:c r="C12" t="str">
        <x:v>Financier</x:v>
      </x:c>
      <x:c r="D12" t="n">
        <x:v>4</x:v>
      </x:c>
      <x:c r="E12" t="n">
        <x:v>3</x:v>
      </x:c>
      <x:c r="F12" t="n">
        <x:f>D12*E12</x:f>
        <x:v>12</x:v>
      </x:c>
      <x:c r="G12" t="str">
        <x:f>IF(F12&gt;=15,"Critique",IF(F12&gt;=9,"Élevé",IF(F12&gt;=5,"Modéré","Faible")))</x:f>
        <x:v>Élevé</x:v>
      </x:c>
      <x:c r="H12" t="str">
        <x:v>Contrôle gestion</x:v>
      </x:c>
      <x:c r="I12" t="str">
        <x:v>Seuils d'alerte et revue mensuelle</x:v>
      </x:c>
      <x:c r="J12" t="n">
        <x:v>4</x:v>
      </x:c>
      <x:c r="K12" t="n">
        <x:v>3</x:v>
      </x:c>
      <x:c r="L12" t="n">
        <x:f>J12*K12</x:f>
        <x:v>12</x:v>
      </x:c>
      <x:c r="M12" t="str">
        <x:f>IF(L12&gt;=15,"Critique",IF(L12&gt;=9,"Élevé",IF(L12&gt;=5,"Modéré","Faible")))</x:f>
        <x:v>Élevé</x:v>
      </x:c>
      <x:c r="N12" t="str">
        <x:v>Terminé</x:v>
      </x:c>
      <x:c r="O12" t="str">
        <x:v>Écart budget/réalisé</x:v>
      </x:c>
      <x:c r="P12" t="str">
        <x:v>T3 2027</x:v>
      </x:c>
    </x:row>
    <x:row r="13" ht="25" customHeight="1">
      <x:c r="A13" t="str">
        <x:v>R009</x:v>
      </x:c>
      <x:c r="B13" t="str">
        <x:v>Interruption production</x:v>
      </x:c>
      <x:c r="C13" t="str">
        <x:v>Opérationnel</x:v>
      </x:c>
      <x:c r="D13" t="n">
        <x:v>3</x:v>
      </x:c>
      <x:c r="E13" t="n">
        <x:v>5</x:v>
      </x:c>
      <x:c r="F13" t="n">
        <x:f>D13*E13</x:f>
        <x:v>15</x:v>
      </x:c>
      <x:c r="G13" t="str">
        <x:f>IF(F13&gt;=15,"Critique",IF(F13&gt;=9,"Élevé",IF(F13&gt;=5,"Modéré","Faible")))</x:f>
        <x:v>Critique</x:v>
      </x:c>
      <x:c r="H13" t="str">
        <x:v>Opérations</x:v>
      </x:c>
      <x:c r="I13" t="str">
        <x:v>Plan continuité et maintenance</x:v>
      </x:c>
      <x:c r="J13" t="n">
        <x:v>2</x:v>
      </x:c>
      <x:c r="K13" t="n">
        <x:v>5</x:v>
      </x:c>
      <x:c r="L13" t="n">
        <x:f>J13*K13</x:f>
        <x:v>10</x:v>
      </x:c>
      <x:c r="M13" t="str">
        <x:f>IF(L13&gt;=15,"Critique",IF(L13&gt;=9,"Élevé",IF(L13&gt;=5,"Modéré","Faible")))</x:f>
        <x:v>Élevé</x:v>
      </x:c>
      <x:c r="N13" t="str">
        <x:v>En cours</x:v>
      </x:c>
      <x:c r="O13" t="str">
        <x:v>Heures d'arrêt</x:v>
      </x:c>
      <x:c r="P13" t="str">
        <x:v>T1 2027</x:v>
      </x:c>
    </x:row>
    <x:row r="14" ht="25" customHeight="1">
      <x:c r="A14" t="str">
        <x:v>R010</x:v>
      </x:c>
      <x:c r="B14" t="str">
        <x:v>Défaillance fournisseur</x:v>
      </x:c>
      <x:c r="C14" t="str">
        <x:v>Opérationnel</x:v>
      </x:c>
      <x:c r="D14" t="n">
        <x:v>4</x:v>
      </x:c>
      <x:c r="E14" t="n">
        <x:v>4</x:v>
      </x:c>
      <x:c r="F14" t="n">
        <x:f>D14*E14</x:f>
        <x:v>16</x:v>
      </x:c>
      <x:c r="G14" t="str">
        <x:f>IF(F14&gt;=15,"Critique",IF(F14&gt;=9,"Élevé",IF(F14&gt;=5,"Modéré","Faible")))</x:f>
        <x:v>Critique</x:v>
      </x:c>
      <x:c r="H14" t="str">
        <x:v>Achats</x:v>
      </x:c>
      <x:c r="I14" t="str">
        <x:v>Double sourcing et stocks sécurité</x:v>
      </x:c>
      <x:c r="J14" t="n">
        <x:v>3</x:v>
      </x:c>
      <x:c r="K14" t="n">
        <x:v>3</x:v>
      </x:c>
      <x:c r="L14" t="n">
        <x:f>J14*K14</x:f>
        <x:v>9</x:v>
      </x:c>
      <x:c r="M14" t="str">
        <x:f>IF(L14&gt;=15,"Critique",IF(L14&gt;=9,"Élevé",IF(L14&gt;=5,"Modéré","Faible")))</x:f>
        <x:v>Élevé</x:v>
      </x:c>
      <x:c r="N14" t="str">
        <x:v>Planifié</x:v>
      </x:c>
      <x:c r="O14" t="str">
        <x:v>OTIF fournisseurs</x:v>
      </x:c>
      <x:c r="P14" t="str">
        <x:v>T2 2027</x:v>
      </x:c>
    </x:row>
    <x:row r="15" ht="25" customHeight="1">
      <x:c r="A15" t="str">
        <x:v>R011</x:v>
      </x:c>
      <x:c r="B15" t="str">
        <x:v>Erreurs de facturation</x:v>
      </x:c>
      <x:c r="C15" t="str">
        <x:v>Opérationnel</x:v>
      </x:c>
      <x:c r="D15" t="n">
        <x:v>3</x:v>
      </x:c>
      <x:c r="E15" t="n">
        <x:v>3</x:v>
      </x:c>
      <x:c r="F15" t="n">
        <x:f>D15*E15</x:f>
        <x:v>9</x:v>
      </x:c>
      <x:c r="G15" t="str">
        <x:f>IF(F15&gt;=15,"Critique",IF(F15&gt;=9,"Élevé",IF(F15&gt;=5,"Modéré","Faible")))</x:f>
        <x:v>Élevé</x:v>
      </x:c>
      <x:c r="H15" t="str">
        <x:v>Comptabilité</x:v>
      </x:c>
      <x:c r="I15" t="str">
        <x:v>Contrôles automatisés</x:v>
      </x:c>
      <x:c r="J15" t="n">
        <x:v>2</x:v>
      </x:c>
      <x:c r="K15" t="n">
        <x:v>3</x:v>
      </x:c>
      <x:c r="L15" t="n">
        <x:f>J15*K15</x:f>
        <x:v>6</x:v>
      </x:c>
      <x:c r="M15" t="str">
        <x:f>IF(L15&gt;=15,"Critique",IF(L15&gt;=9,"Élevé",IF(L15&gt;=5,"Modéré","Faible")))</x:f>
        <x:v>Modéré</x:v>
      </x:c>
      <x:c r="N15" t="str">
        <x:v>Terminé</x:v>
      </x:c>
      <x:c r="O15" t="str">
        <x:v>Taux factures corrigées</x:v>
      </x:c>
      <x:c r="P15" t="str">
        <x:v>T3 2027</x:v>
      </x:c>
    </x:row>
    <x:row r="16" ht="25" customHeight="1">
      <x:c r="A16" t="str">
        <x:v>R012</x:v>
      </x:c>
      <x:c r="B16" t="str">
        <x:v>Perte collaborateurs clés</x:v>
      </x:c>
      <x:c r="C16" t="str">
        <x:v>Opérationnel</x:v>
      </x:c>
      <x:c r="D16" t="n">
        <x:v>3</x:v>
      </x:c>
      <x:c r="E16" t="n">
        <x:v>4</x:v>
      </x:c>
      <x:c r="F16" t="n">
        <x:f>D16*E16</x:f>
        <x:v>12</x:v>
      </x:c>
      <x:c r="G16" t="str">
        <x:f>IF(F16&gt;=15,"Critique",IF(F16&gt;=9,"Élevé",IF(F16&gt;=5,"Modéré","Faible")))</x:f>
        <x:v>Élevé</x:v>
      </x:c>
      <x:c r="H16" t="str">
        <x:v>RH</x:v>
      </x:c>
      <x:c r="I16" t="str">
        <x:v>Plan succession, formation</x:v>
      </x:c>
      <x:c r="J16" t="n">
        <x:v>3</x:v>
      </x:c>
      <x:c r="K16" t="n">
        <x:v>4</x:v>
      </x:c>
      <x:c r="L16" t="n">
        <x:f>J16*K16</x:f>
        <x:v>12</x:v>
      </x:c>
      <x:c r="M16" t="str">
        <x:f>IF(L16&gt;=15,"Critique",IF(L16&gt;=9,"Élevé",IF(L16&gt;=5,"Modéré","Faible")))</x:f>
        <x:v>Élevé</x:v>
      </x:c>
      <x:c r="N16" t="str">
        <x:v>En cours</x:v>
      </x:c>
      <x:c r="O16" t="str">
        <x:v>Turnover fonctions clés</x:v>
      </x:c>
      <x:c r="P16" t="str">
        <x:v>T1 2027</x:v>
      </x:c>
    </x:row>
    <x:row r="17" ht="25" customHeight="1">
      <x:c r="A17" t="str">
        <x:v>R013</x:v>
      </x:c>
      <x:c r="B17" t="str">
        <x:v>Incident HSE</x:v>
      </x:c>
      <x:c r="C17" t="str">
        <x:v>Opérationnel</x:v>
      </x:c>
      <x:c r="D17" t="n">
        <x:v>2</x:v>
      </x:c>
      <x:c r="E17" t="n">
        <x:v>5</x:v>
      </x:c>
      <x:c r="F17" t="n">
        <x:f>D17*E17</x:f>
        <x:v>10</x:v>
      </x:c>
      <x:c r="G17" t="str">
        <x:f>IF(F17&gt;=15,"Critique",IF(F17&gt;=9,"Élevé",IF(F17&gt;=5,"Modéré","Faible")))</x:f>
        <x:v>Élevé</x:v>
      </x:c>
      <x:c r="H17" t="str">
        <x:v>HSE</x:v>
      </x:c>
      <x:c r="I17" t="str">
        <x:v>Audits sécurité et prévention</x:v>
      </x:c>
      <x:c r="J17" t="n">
        <x:v>1</x:v>
      </x:c>
      <x:c r="K17" t="n">
        <x:v>5</x:v>
      </x:c>
      <x:c r="L17" t="n">
        <x:f>J17*K17</x:f>
        <x:v>5</x:v>
      </x:c>
      <x:c r="M17" t="str">
        <x:f>IF(L17&gt;=15,"Critique",IF(L17&gt;=9,"Élevé",IF(L17&gt;=5,"Modéré","Faible")))</x:f>
        <x:v>Modéré</x:v>
      </x:c>
      <x:c r="N17" t="str">
        <x:v>Planifié</x:v>
      </x:c>
      <x:c r="O17" t="str">
        <x:v>Incidents avec arrêt</x:v>
      </x:c>
      <x:c r="P17" t="str">
        <x:v>T2 2027</x:v>
      </x:c>
    </x:row>
    <x:row r="18" ht="25" customHeight="1">
      <x:c r="A18" t="str">
        <x:v>R014</x:v>
      </x:c>
      <x:c r="B18" t="str">
        <x:v>Erreur de clôture</x:v>
      </x:c>
      <x:c r="C18" t="str">
        <x:v>Opérationnel</x:v>
      </x:c>
      <x:c r="D18" t="n">
        <x:v>3</x:v>
      </x:c>
      <x:c r="E18" t="n">
        <x:v>3</x:v>
      </x:c>
      <x:c r="F18" t="n">
        <x:f>D18*E18</x:f>
        <x:v>9</x:v>
      </x:c>
      <x:c r="G18" t="str">
        <x:f>IF(F18&gt;=15,"Critique",IF(F18&gt;=9,"Élevé",IF(F18&gt;=5,"Modéré","Faible")))</x:f>
        <x:v>Élevé</x:v>
      </x:c>
      <x:c r="H18" t="str">
        <x:v>Comptabilité</x:v>
      </x:c>
      <x:c r="I18" t="str">
        <x:v>Checklist et rapprochement</x:v>
      </x:c>
      <x:c r="J18" t="n">
        <x:v>2</x:v>
      </x:c>
      <x:c r="K18" t="n">
        <x:v>3</x:v>
      </x:c>
      <x:c r="L18" t="n">
        <x:f>J18*K18</x:f>
        <x:v>6</x:v>
      </x:c>
      <x:c r="M18" t="str">
        <x:f>IF(L18&gt;=15,"Critique",IF(L18&gt;=9,"Élevé",IF(L18&gt;=5,"Modéré","Faible")))</x:f>
        <x:v>Modéré</x:v>
      </x:c>
      <x:c r="N18" t="str">
        <x:v>Terminé</x:v>
      </x:c>
      <x:c r="O18" t="str">
        <x:v>Nombre écritures d'ajustement</x:v>
      </x:c>
      <x:c r="P18" t="str">
        <x:v>T3 2027</x:v>
      </x:c>
    </x:row>
    <x:row r="19" ht="25" customHeight="1">
      <x:c r="A19" t="str">
        <x:v>R015</x:v>
      </x:c>
      <x:c r="B19" t="str">
        <x:v>Retard logistique</x:v>
      </x:c>
      <x:c r="C19" t="str">
        <x:v>Opérationnel</x:v>
      </x:c>
      <x:c r="D19" t="n">
        <x:v>4</x:v>
      </x:c>
      <x:c r="E19" t="n">
        <x:v>3</x:v>
      </x:c>
      <x:c r="F19" t="n">
        <x:f>D19*E19</x:f>
        <x:v>12</x:v>
      </x:c>
      <x:c r="G19" t="str">
        <x:f>IF(F19&gt;=15,"Critique",IF(F19&gt;=9,"Élevé",IF(F19&gt;=5,"Modéré","Faible")))</x:f>
        <x:v>Élevé</x:v>
      </x:c>
      <x:c r="H19" t="str">
        <x:v>Supply chain</x:v>
      </x:c>
      <x:c r="I19" t="str">
        <x:v>Plan transport secours</x:v>
      </x:c>
      <x:c r="J19" t="n">
        <x:v>3</x:v>
      </x:c>
      <x:c r="K19" t="n">
        <x:v>2</x:v>
      </x:c>
      <x:c r="L19" t="n">
        <x:f>J19*K19</x:f>
        <x:v>6</x:v>
      </x:c>
      <x:c r="M19" t="str">
        <x:f>IF(L19&gt;=15,"Critique",IF(L19&gt;=9,"Élevé",IF(L19&gt;=5,"Modéré","Faible")))</x:f>
        <x:v>Modéré</x:v>
      </x:c>
      <x:c r="N19" t="str">
        <x:v>En cours</x:v>
      </x:c>
      <x:c r="O19" t="str">
        <x:v>Taux livraisons en retard</x:v>
      </x:c>
      <x:c r="P19" t="str">
        <x:v>T1 2027</x:v>
      </x:c>
    </x:row>
    <x:row r="20" ht="25" customHeight="1">
      <x:c r="A20" t="str">
        <x:v>R016</x:v>
      </x:c>
      <x:c r="B20" t="str">
        <x:v>Qualité produits</x:v>
      </x:c>
      <x:c r="C20" t="str">
        <x:v>Opérationnel</x:v>
      </x:c>
      <x:c r="D20" t="n">
        <x:v>3</x:v>
      </x:c>
      <x:c r="E20" t="n">
        <x:v>4</x:v>
      </x:c>
      <x:c r="F20" t="n">
        <x:f>D20*E20</x:f>
        <x:v>12</x:v>
      </x:c>
      <x:c r="G20" t="str">
        <x:f>IF(F20&gt;=15,"Critique",IF(F20&gt;=9,"Élevé",IF(F20&gt;=5,"Modéré","Faible")))</x:f>
        <x:v>Élevé</x:v>
      </x:c>
      <x:c r="H20" t="str">
        <x:v>Qualité</x:v>
      </x:c>
      <x:c r="I20" t="str">
        <x:v>Tests et revue fournisseurs</x:v>
      </x:c>
      <x:c r="J20" t="n">
        <x:v>3</x:v>
      </x:c>
      <x:c r="K20" t="n">
        <x:v>4</x:v>
      </x:c>
      <x:c r="L20" t="n">
        <x:f>J20*K20</x:f>
        <x:v>12</x:v>
      </x:c>
      <x:c r="M20" t="str">
        <x:f>IF(L20&gt;=15,"Critique",IF(L20&gt;=9,"Élevé",IF(L20&gt;=5,"Modéré","Faible")))</x:f>
        <x:v>Élevé</x:v>
      </x:c>
      <x:c r="N20" t="str">
        <x:v>Planifié</x:v>
      </x:c>
      <x:c r="O20" t="str">
        <x:v>Taux non-conformité</x:v>
      </x:c>
      <x:c r="P20" t="str">
        <x:v>T2 2027</x:v>
      </x:c>
    </x:row>
    <x:row r="21" ht="25" customHeight="1">
      <x:c r="A21" t="str">
        <x:v>R017</x:v>
      </x:c>
      <x:c r="B21" t="str">
        <x:v>Non-conformité fiscale</x:v>
      </x:c>
      <x:c r="C21" t="str">
        <x:v>Conformité</x:v>
      </x:c>
      <x:c r="D21" t="n">
        <x:v>3</x:v>
      </x:c>
      <x:c r="E21" t="n">
        <x:v>5</x:v>
      </x:c>
      <x:c r="F21" t="n">
        <x:f>D21*E21</x:f>
        <x:v>15</x:v>
      </x:c>
      <x:c r="G21" t="str">
        <x:f>IF(F21&gt;=15,"Critique",IF(F21&gt;=9,"Élevé",IF(F21&gt;=5,"Modéré","Faible")))</x:f>
        <x:v>Critique</x:v>
      </x:c>
      <x:c r="H21" t="str">
        <x:v>Fiscalité</x:v>
      </x:c>
      <x:c r="I21" t="str">
        <x:v>Veille fiscale et contrôle revue</x:v>
      </x:c>
      <x:c r="J21" t="n">
        <x:v>2</x:v>
      </x:c>
      <x:c r="K21" t="n">
        <x:v>5</x:v>
      </x:c>
      <x:c r="L21" t="n">
        <x:f>J21*K21</x:f>
        <x:v>10</x:v>
      </x:c>
      <x:c r="M21" t="str">
        <x:f>IF(L21&gt;=15,"Critique",IF(L21&gt;=9,"Élevé",IF(L21&gt;=5,"Modéré","Faible")))</x:f>
        <x:v>Élevé</x:v>
      </x:c>
      <x:c r="N21" t="str">
        <x:v>Terminé</x:v>
      </x:c>
      <x:c r="O21" t="str">
        <x:v>Anomalies déclarations</x:v>
      </x:c>
      <x:c r="P21" t="str">
        <x:v>T3 2027</x:v>
      </x:c>
    </x:row>
    <x:row r="22" ht="25" customHeight="1">
      <x:c r="A22" t="str">
        <x:v>R018</x:v>
      </x:c>
      <x:c r="B22" t="str">
        <x:v>Non-respect RGPD/loi 09-08</x:v>
      </x:c>
      <x:c r="C22" t="str">
        <x:v>Conformité</x:v>
      </x:c>
      <x:c r="D22" t="n">
        <x:v>3</x:v>
      </x:c>
      <x:c r="E22" t="n">
        <x:v>5</x:v>
      </x:c>
      <x:c r="F22" t="n">
        <x:f>D22*E22</x:f>
        <x:v>15</x:v>
      </x:c>
      <x:c r="G22" t="str">
        <x:f>IF(F22&gt;=15,"Critique",IF(F22&gt;=9,"Élevé",IF(F22&gt;=5,"Modéré","Faible")))</x:f>
        <x:v>Critique</x:v>
      </x:c>
      <x:c r="H22" t="str">
        <x:v>Juridique</x:v>
      </x:c>
      <x:c r="I22" t="str">
        <x:v>Gouvernance des données</x:v>
      </x:c>
      <x:c r="J22" t="n">
        <x:v>2</x:v>
      </x:c>
      <x:c r="K22" t="n">
        <x:v>5</x:v>
      </x:c>
      <x:c r="L22" t="n">
        <x:f>J22*K22</x:f>
        <x:v>10</x:v>
      </x:c>
      <x:c r="M22" t="str">
        <x:f>IF(L22&gt;=15,"Critique",IF(L22&gt;=9,"Élevé",IF(L22&gt;=5,"Modéré","Faible")))</x:f>
        <x:v>Élevé</x:v>
      </x:c>
      <x:c r="N22" t="str">
        <x:v>En cours</x:v>
      </x:c>
      <x:c r="O22" t="str">
        <x:v>Incidents données</x:v>
      </x:c>
      <x:c r="P22" t="str">
        <x:v>T1 2027</x:v>
      </x:c>
    </x:row>
    <x:row r="23" ht="25" customHeight="1">
      <x:c r="A23" t="str">
        <x:v>R019</x:v>
      </x:c>
      <x:c r="B23" t="str">
        <x:v>Défaut de piste d'audit</x:v>
      </x:c>
      <x:c r="C23" t="str">
        <x:v>Conformité</x:v>
      </x:c>
      <x:c r="D23" t="n">
        <x:v>3</x:v>
      </x:c>
      <x:c r="E23" t="n">
        <x:v>4</x:v>
      </x:c>
      <x:c r="F23" t="n">
        <x:f>D23*E23</x:f>
        <x:v>12</x:v>
      </x:c>
      <x:c r="G23" t="str">
        <x:f>IF(F23&gt;=15,"Critique",IF(F23&gt;=9,"Élevé",IF(F23&gt;=5,"Modéré","Faible")))</x:f>
        <x:v>Élevé</x:v>
      </x:c>
      <x:c r="H23" t="str">
        <x:v>Audit interne</x:v>
      </x:c>
      <x:c r="I23" t="str">
        <x:v>Traçabilité des validations</x:v>
      </x:c>
      <x:c r="J23" t="n">
        <x:v>2</x:v>
      </x:c>
      <x:c r="K23" t="n">
        <x:v>4</x:v>
      </x:c>
      <x:c r="L23" t="n">
        <x:f>J23*K23</x:f>
        <x:v>8</x:v>
      </x:c>
      <x:c r="M23" t="str">
        <x:f>IF(L23&gt;=15,"Critique",IF(L23&gt;=9,"Élevé",IF(L23&gt;=5,"Modéré","Faible")))</x:f>
        <x:v>Modéré</x:v>
      </x:c>
      <x:c r="N23" t="str">
        <x:v>Planifié</x:v>
      </x:c>
      <x:c r="O23" t="str">
        <x:v>Points d'audit ouverts</x:v>
      </x:c>
      <x:c r="P23" t="str">
        <x:v>T2 2027</x:v>
      </x:c>
    </x:row>
    <x:row r="24" ht="25" customHeight="1">
      <x:c r="A24" t="str">
        <x:v>R020</x:v>
      </x:c>
      <x:c r="B24" t="str">
        <x:v>Conflits d'intérêts</x:v>
      </x:c>
      <x:c r="C24" t="str">
        <x:v>Conformité</x:v>
      </x:c>
      <x:c r="D24" t="n">
        <x:v>2</x:v>
      </x:c>
      <x:c r="E24" t="n">
        <x:v>4</x:v>
      </x:c>
      <x:c r="F24" t="n">
        <x:f>D24*E24</x:f>
        <x:v>8</x:v>
      </x:c>
      <x:c r="G24" t="str">
        <x:f>IF(F24&gt;=15,"Critique",IF(F24&gt;=9,"Élevé",IF(F24&gt;=5,"Modéré","Faible")))</x:f>
        <x:v>Modéré</x:v>
      </x:c>
      <x:c r="H24" t="str">
        <x:v>Conformité</x:v>
      </x:c>
      <x:c r="I24" t="str">
        <x:v>Déclarations annuelles</x:v>
      </x:c>
      <x:c r="J24" t="n">
        <x:v>2</x:v>
      </x:c>
      <x:c r="K24" t="n">
        <x:v>3</x:v>
      </x:c>
      <x:c r="L24" t="n">
        <x:f>J24*K24</x:f>
        <x:v>6</x:v>
      </x:c>
      <x:c r="M24" t="str">
        <x:f>IF(L24&gt;=15,"Critique",IF(L24&gt;=9,"Élevé",IF(L24&gt;=5,"Modéré","Faible")))</x:f>
        <x:v>Modéré</x:v>
      </x:c>
      <x:c r="N24" t="str">
        <x:v>Terminé</x:v>
      </x:c>
      <x:c r="O24" t="str">
        <x:v>Taux conformité déclarations</x:v>
      </x:c>
      <x:c r="P24" t="str">
        <x:v>T3 2027</x:v>
      </x:c>
    </x:row>
    <x:row r="25" ht="25" customHeight="1">
      <x:c r="A25" t="str">
        <x:v>R021</x:v>
      </x:c>
      <x:c r="B25" t="str">
        <x:v>Non-conformité contractuelle</x:v>
      </x:c>
      <x:c r="C25" t="str">
        <x:v>Conformité</x:v>
      </x:c>
      <x:c r="D25" t="n">
        <x:v>3</x:v>
      </x:c>
      <x:c r="E25" t="n">
        <x:v>3</x:v>
      </x:c>
      <x:c r="F25" t="n">
        <x:f>D25*E25</x:f>
        <x:v>9</x:v>
      </x:c>
      <x:c r="G25" t="str">
        <x:f>IF(F25&gt;=15,"Critique",IF(F25&gt;=9,"Élevé",IF(F25&gt;=5,"Modéré","Faible")))</x:f>
        <x:v>Élevé</x:v>
      </x:c>
      <x:c r="H25" t="str">
        <x:v>Juridique</x:v>
      </x:c>
      <x:c r="I25" t="str">
        <x:v>Référentiel contrats</x:v>
      </x:c>
      <x:c r="J25" t="n">
        <x:v>2</x:v>
      </x:c>
      <x:c r="K25" t="n">
        <x:v>3</x:v>
      </x:c>
      <x:c r="L25" t="n">
        <x:f>J25*K25</x:f>
        <x:v>6</x:v>
      </x:c>
      <x:c r="M25" t="str">
        <x:f>IF(L25&gt;=15,"Critique",IF(L25&gt;=9,"Élevé",IF(L25&gt;=5,"Modéré","Faible")))</x:f>
        <x:v>Modéré</x:v>
      </x:c>
      <x:c r="N25" t="str">
        <x:v>En cours</x:v>
      </x:c>
      <x:c r="O25" t="str">
        <x:v>Litiges contractuels</x:v>
      </x:c>
      <x:c r="P25" t="str">
        <x:v>T1 2027</x:v>
      </x:c>
    </x:row>
    <x:row r="26" ht="25" customHeight="1">
      <x:c r="A26" t="str">
        <x:v>R022</x:v>
      </x:c>
      <x:c r="B26" t="str">
        <x:v>Sanctions réglementaires</x:v>
      </x:c>
      <x:c r="C26" t="str">
        <x:v>Conformité</x:v>
      </x:c>
      <x:c r="D26" t="n">
        <x:v>2</x:v>
      </x:c>
      <x:c r="E26" t="n">
        <x:v>5</x:v>
      </x:c>
      <x:c r="F26" t="n">
        <x:f>D26*E26</x:f>
        <x:v>10</x:v>
      </x:c>
      <x:c r="G26" t="str">
        <x:f>IF(F26&gt;=15,"Critique",IF(F26&gt;=9,"Élevé",IF(F26&gt;=5,"Modéré","Faible")))</x:f>
        <x:v>Élevé</x:v>
      </x:c>
      <x:c r="H26" t="str">
        <x:v>Conformité</x:v>
      </x:c>
      <x:c r="I26" t="str">
        <x:v>Revue de conformité trimestrielle</x:v>
      </x:c>
      <x:c r="J26" t="n">
        <x:v>1</x:v>
      </x:c>
      <x:c r="K26" t="n">
        <x:v>5</x:v>
      </x:c>
      <x:c r="L26" t="n">
        <x:f>J26*K26</x:f>
        <x:v>5</x:v>
      </x:c>
      <x:c r="M26" t="str">
        <x:f>IF(L26&gt;=15,"Critique",IF(L26&gt;=9,"Élevé",IF(L26&gt;=5,"Modéré","Faible")))</x:f>
        <x:v>Modéré</x:v>
      </x:c>
      <x:c r="N26" t="str">
        <x:v>Planifié</x:v>
      </x:c>
      <x:c r="O26" t="str">
        <x:v>Nombre alertes critiques</x:v>
      </x:c>
      <x:c r="P26" t="str">
        <x:v>T2 2027</x:v>
      </x:c>
    </x:row>
    <x:row r="27" ht="25" customHeight="1">
      <x:c r="A27" t="str">
        <x:v>R023</x:v>
      </x:c>
      <x:c r="B27" t="str">
        <x:v>Cyberattaque / ransomware</x:v>
      </x:c>
      <x:c r="C27" t="str">
        <x:v>Cyber &amp; SI</x:v>
      </x:c>
      <x:c r="D27" t="n">
        <x:v>4</x:v>
      </x:c>
      <x:c r="E27" t="n">
        <x:v>5</x:v>
      </x:c>
      <x:c r="F27" t="n">
        <x:f>D27*E27</x:f>
        <x:v>20</x:v>
      </x:c>
      <x:c r="G27" t="str">
        <x:f>IF(F27&gt;=15,"Critique",IF(F27&gt;=9,"Élevé",IF(F27&gt;=5,"Modéré","Faible")))</x:f>
        <x:v>Critique</x:v>
      </x:c>
      <x:c r="H27" t="str">
        <x:v>DSI</x:v>
      </x:c>
      <x:c r="I27" t="str">
        <x:v>Sauvegarde isolée, EDR, MFA</x:v>
      </x:c>
      <x:c r="J27" t="n">
        <x:v>3</x:v>
      </x:c>
      <x:c r="K27" t="n">
        <x:v>5</x:v>
      </x:c>
      <x:c r="L27" t="n">
        <x:f>J27*K27</x:f>
        <x:v>15</x:v>
      </x:c>
      <x:c r="M27" t="str">
        <x:f>IF(L27&gt;=15,"Critique",IF(L27&gt;=9,"Élevé",IF(L27&gt;=5,"Modéré","Faible")))</x:f>
        <x:v>Critique</x:v>
      </x:c>
      <x:c r="N27" t="str">
        <x:v>Terminé</x:v>
      </x:c>
      <x:c r="O27" t="str">
        <x:v>Tests restauration</x:v>
      </x:c>
      <x:c r="P27" t="str">
        <x:v>T3 2027</x:v>
      </x:c>
    </x:row>
    <x:row r="28" ht="25" customHeight="1">
      <x:c r="A28" t="str">
        <x:v>R024</x:v>
      </x:c>
      <x:c r="B28" t="str">
        <x:v>Indisponibilité ERP</x:v>
      </x:c>
      <x:c r="C28" t="str">
        <x:v>Cyber &amp; SI</x:v>
      </x:c>
      <x:c r="D28" t="n">
        <x:v>4</x:v>
      </x:c>
      <x:c r="E28" t="n">
        <x:v>4</x:v>
      </x:c>
      <x:c r="F28" t="n">
        <x:f>D28*E28</x:f>
        <x:v>16</x:v>
      </x:c>
      <x:c r="G28" t="str">
        <x:f>IF(F28&gt;=15,"Critique",IF(F28&gt;=9,"Élevé",IF(F28&gt;=5,"Modéré","Faible")))</x:f>
        <x:v>Critique</x:v>
      </x:c>
      <x:c r="H28" t="str">
        <x:v>DSI</x:v>
      </x:c>
      <x:c r="I28" t="str">
        <x:v>Redondance et PRA</x:v>
      </x:c>
      <x:c r="J28" t="n">
        <x:v>4</x:v>
      </x:c>
      <x:c r="K28" t="n">
        <x:v>4</x:v>
      </x:c>
      <x:c r="L28" t="n">
        <x:f>J28*K28</x:f>
        <x:v>16</x:v>
      </x:c>
      <x:c r="M28" t="str">
        <x:f>IF(L28&gt;=15,"Critique",IF(L28&gt;=9,"Élevé",IF(L28&gt;=5,"Modéré","Faible")))</x:f>
        <x:v>Critique</x:v>
      </x:c>
      <x:c r="N28" t="str">
        <x:v>En cours</x:v>
      </x:c>
      <x:c r="O28" t="str">
        <x:v>Disponibilité ERP</x:v>
      </x:c>
      <x:c r="P28" t="str">
        <x:v>T1 2027</x:v>
      </x:c>
    </x:row>
    <x:row r="29" ht="25" customHeight="1">
      <x:c r="A29" t="str">
        <x:v>R025</x:v>
      </x:c>
      <x:c r="B29" t="str">
        <x:v>Fuite de données</x:v>
      </x:c>
      <x:c r="C29" t="str">
        <x:v>Cyber &amp; SI</x:v>
      </x:c>
      <x:c r="D29" t="n">
        <x:v>3</x:v>
      </x:c>
      <x:c r="E29" t="n">
        <x:v>5</x:v>
      </x:c>
      <x:c r="F29" t="n">
        <x:f>D29*E29</x:f>
        <x:v>15</x:v>
      </x:c>
      <x:c r="G29" t="str">
        <x:f>IF(F29&gt;=15,"Critique",IF(F29&gt;=9,"Élevé",IF(F29&gt;=5,"Modéré","Faible")))</x:f>
        <x:v>Critique</x:v>
      </x:c>
      <x:c r="H29" t="str">
        <x:v>RSSI</x:v>
      </x:c>
      <x:c r="I29" t="str">
        <x:v>Chiffrement, contrôle accès</x:v>
      </x:c>
      <x:c r="J29" t="n">
        <x:v>2</x:v>
      </x:c>
      <x:c r="K29" t="n">
        <x:v>4</x:v>
      </x:c>
      <x:c r="L29" t="n">
        <x:f>J29*K29</x:f>
        <x:v>8</x:v>
      </x:c>
      <x:c r="M29" t="str">
        <x:f>IF(L29&gt;=15,"Critique",IF(L29&gt;=9,"Élevé",IF(L29&gt;=5,"Modéré","Faible")))</x:f>
        <x:v>Modéré</x:v>
      </x:c>
      <x:c r="N29" t="str">
        <x:v>Planifié</x:v>
      </x:c>
      <x:c r="O29" t="str">
        <x:v>Événements DLP</x:v>
      </x:c>
      <x:c r="P29" t="str">
        <x:v>T2 2027</x:v>
      </x:c>
    </x:row>
    <x:row r="30" ht="25" customHeight="1">
      <x:c r="A30" t="str">
        <x:v>R026</x:v>
      </x:c>
      <x:c r="B30" t="str">
        <x:v>Accès non autorisé</x:v>
      </x:c>
      <x:c r="C30" t="str">
        <x:v>Cyber &amp; SI</x:v>
      </x:c>
      <x:c r="D30" t="n">
        <x:v>3</x:v>
      </x:c>
      <x:c r="E30" t="n">
        <x:v>4</x:v>
      </x:c>
      <x:c r="F30" t="n">
        <x:f>D30*E30</x:f>
        <x:v>12</x:v>
      </x:c>
      <x:c r="G30" t="str">
        <x:f>IF(F30&gt;=15,"Critique",IF(F30&gt;=9,"Élevé",IF(F30&gt;=5,"Modéré","Faible")))</x:f>
        <x:v>Élevé</x:v>
      </x:c>
      <x:c r="H30" t="str">
        <x:v>RSSI</x:v>
      </x:c>
      <x:c r="I30" t="str">
        <x:v>Revue périodique habilitations</x:v>
      </x:c>
      <x:c r="J30" t="n">
        <x:v>2</x:v>
      </x:c>
      <x:c r="K30" t="n">
        <x:v>4</x:v>
      </x:c>
      <x:c r="L30" t="n">
        <x:f>J30*K30</x:f>
        <x:v>8</x:v>
      </x:c>
      <x:c r="M30" t="str">
        <x:f>IF(L30&gt;=15,"Critique",IF(L30&gt;=9,"Élevé",IF(L30&gt;=5,"Modéré","Faible")))</x:f>
        <x:v>Modéré</x:v>
      </x:c>
      <x:c r="N30" t="str">
        <x:v>Terminé</x:v>
      </x:c>
      <x:c r="O30" t="str">
        <x:v>Comptes orphelins</x:v>
      </x:c>
      <x:c r="P30" t="str">
        <x:v>T3 2027</x:v>
      </x:c>
    </x:row>
    <x:row r="31" ht="25" customHeight="1">
      <x:c r="A31" t="str">
        <x:v>R027</x:v>
      </x:c>
      <x:c r="B31" t="str">
        <x:v>Erreur intégration données</x:v>
      </x:c>
      <x:c r="C31" t="str">
        <x:v>Cyber &amp; SI</x:v>
      </x:c>
      <x:c r="D31" t="n">
        <x:v>4</x:v>
      </x:c>
      <x:c r="E31" t="n">
        <x:v>3</x:v>
      </x:c>
      <x:c r="F31" t="n">
        <x:f>D31*E31</x:f>
        <x:v>12</x:v>
      </x:c>
      <x:c r="G31" t="str">
        <x:f>IF(F31&gt;=15,"Critique",IF(F31&gt;=9,"Élevé",IF(F31&gt;=5,"Modéré","Faible")))</x:f>
        <x:v>Élevé</x:v>
      </x:c>
      <x:c r="H31" t="str">
        <x:v>BI</x:v>
      </x:c>
      <x:c r="I31" t="str">
        <x:v>Tests qualité et réconciliation</x:v>
      </x:c>
      <x:c r="J31" t="n">
        <x:v>3</x:v>
      </x:c>
      <x:c r="K31" t="n">
        <x:v>3</x:v>
      </x:c>
      <x:c r="L31" t="n">
        <x:f>J31*K31</x:f>
        <x:v>9</x:v>
      </x:c>
      <x:c r="M31" t="str">
        <x:f>IF(L31&gt;=15,"Critique",IF(L31&gt;=9,"Élevé",IF(L31&gt;=5,"Modéré","Faible")))</x:f>
        <x:v>Élevé</x:v>
      </x:c>
      <x:c r="N31" t="str">
        <x:v>En cours</x:v>
      </x:c>
      <x:c r="O31" t="str">
        <x:v>Taux erreurs ETL</x:v>
      </x:c>
      <x:c r="P31" t="str">
        <x:v>T1 2027</x:v>
      </x:c>
    </x:row>
    <x:row r="32" ht="25" customHeight="1">
      <x:c r="A32" t="str">
        <x:v>R028</x:v>
      </x:c>
      <x:c r="B32" t="str">
        <x:v>Dépendance prestataire IT</x:v>
      </x:c>
      <x:c r="C32" t="str">
        <x:v>Cyber &amp; SI</x:v>
      </x:c>
      <x:c r="D32" t="n">
        <x:v>3</x:v>
      </x:c>
      <x:c r="E32" t="n">
        <x:v>3</x:v>
      </x:c>
      <x:c r="F32" t="n">
        <x:f>D32*E32</x:f>
        <x:v>9</x:v>
      </x:c>
      <x:c r="G32" t="str">
        <x:f>IF(F32&gt;=15,"Critique",IF(F32&gt;=9,"Élevé",IF(F32&gt;=5,"Modéré","Faible")))</x:f>
        <x:v>Élevé</x:v>
      </x:c>
      <x:c r="H32" t="str">
        <x:v>DSI</x:v>
      </x:c>
      <x:c r="I32" t="str">
        <x:v>Clauses SLA et solution de repli</x:v>
      </x:c>
      <x:c r="J32" t="n">
        <x:v>3</x:v>
      </x:c>
      <x:c r="K32" t="n">
        <x:v>3</x:v>
      </x:c>
      <x:c r="L32" t="n">
        <x:f>J32*K32</x:f>
        <x:v>9</x:v>
      </x:c>
      <x:c r="M32" t="str">
        <x:f>IF(L32&gt;=15,"Critique",IF(L32&gt;=9,"Élevé",IF(L32&gt;=5,"Modéré","Faible")))</x:f>
        <x:v>Élevé</x:v>
      </x:c>
      <x:c r="N32" t="str">
        <x:v>Planifié</x:v>
      </x:c>
      <x:c r="O32" t="str">
        <x:v>Respect SLA</x:v>
      </x:c>
      <x:c r="P32" t="str">
        <x:v>T2 2027</x:v>
      </x:c>
    </x:row>
    <x:row r="33" ht="25" customHeight="1">
      <x:c r="A33" t="str">
        <x:v>R029</x:v>
      </x:c>
      <x:c r="B33" t="str">
        <x:v>Baisse demande marché</x:v>
      </x:c>
      <x:c r="C33" t="str">
        <x:v>Stratégique</x:v>
      </x:c>
      <x:c r="D33" t="n">
        <x:v>4</x:v>
      </x:c>
      <x:c r="E33" t="n">
        <x:v>4</x:v>
      </x:c>
      <x:c r="F33" t="n">
        <x:f>D33*E33</x:f>
        <x:v>16</x:v>
      </x:c>
      <x:c r="G33" t="str">
        <x:f>IF(F33&gt;=15,"Critique",IF(F33&gt;=9,"Élevé",IF(F33&gt;=5,"Modéré","Faible")))</x:f>
        <x:v>Critique</x:v>
      </x:c>
      <x:c r="H33" t="str">
        <x:v>Direction</x:v>
      </x:c>
      <x:c r="I33" t="str">
        <x:v>Diversification portefeuille</x:v>
      </x:c>
      <x:c r="J33" t="n">
        <x:v>3</x:v>
      </x:c>
      <x:c r="K33" t="n">
        <x:v>4</x:v>
      </x:c>
      <x:c r="L33" t="n">
        <x:f>J33*K33</x:f>
        <x:v>12</x:v>
      </x:c>
      <x:c r="M33" t="str">
        <x:f>IF(L33&gt;=15,"Critique",IF(L33&gt;=9,"Élevé",IF(L33&gt;=5,"Modéré","Faible")))</x:f>
        <x:v>Élevé</x:v>
      </x:c>
      <x:c r="N33" t="str">
        <x:v>Terminé</x:v>
      </x:c>
      <x:c r="O33" t="str">
        <x:v>Croissance commandes</x:v>
      </x:c>
      <x:c r="P33" t="str">
        <x:v>T3 2027</x:v>
      </x:c>
    </x:row>
    <x:row r="34" ht="25" customHeight="1">
      <x:c r="A34" t="str">
        <x:v>R030</x:v>
      </x:c>
      <x:c r="B34" t="str">
        <x:v>Concentration clients</x:v>
      </x:c>
      <x:c r="C34" t="str">
        <x:v>Stratégique</x:v>
      </x:c>
      <x:c r="D34" t="n">
        <x:v>4</x:v>
      </x:c>
      <x:c r="E34" t="n">
        <x:v>4</x:v>
      </x:c>
      <x:c r="F34" t="n">
        <x:f>D34*E34</x:f>
        <x:v>16</x:v>
      </x:c>
      <x:c r="G34" t="str">
        <x:f>IF(F34&gt;=15,"Critique",IF(F34&gt;=9,"Élevé",IF(F34&gt;=5,"Modéré","Faible")))</x:f>
        <x:v>Critique</x:v>
      </x:c>
      <x:c r="H34" t="str">
        <x:v>Commercial</x:v>
      </x:c>
      <x:c r="I34" t="str">
        <x:v>Diversification du portefeuille</x:v>
      </x:c>
      <x:c r="J34" t="n">
        <x:v>3</x:v>
      </x:c>
      <x:c r="K34" t="n">
        <x:v>3</x:v>
      </x:c>
      <x:c r="L34" t="n">
        <x:f>J34*K34</x:f>
        <x:v>9</x:v>
      </x:c>
      <x:c r="M34" t="str">
        <x:f>IF(L34&gt;=15,"Critique",IF(L34&gt;=9,"Élevé",IF(L34&gt;=5,"Modéré","Faible")))</x:f>
        <x:v>Élevé</x:v>
      </x:c>
      <x:c r="N34" t="str">
        <x:v>En cours</x:v>
      </x:c>
      <x:c r="O34" t="str">
        <x:v>Top 5 CA %</x:v>
      </x:c>
      <x:c r="P34" t="str">
        <x:v>T1 2027</x:v>
      </x:c>
    </x:row>
    <x:row r="35" ht="25" customHeight="1">
      <x:c r="A35" t="str">
        <x:v>R031</x:v>
      </x:c>
      <x:c r="B35" t="str">
        <x:v>Perte part de marché</x:v>
      </x:c>
      <x:c r="C35" t="str">
        <x:v>Stratégique</x:v>
      </x:c>
      <x:c r="D35" t="n">
        <x:v>3</x:v>
      </x:c>
      <x:c r="E35" t="n">
        <x:v>4</x:v>
      </x:c>
      <x:c r="F35" t="n">
        <x:f>D35*E35</x:f>
        <x:v>12</x:v>
      </x:c>
      <x:c r="G35" t="str">
        <x:f>IF(F35&gt;=15,"Critique",IF(F35&gt;=9,"Élevé",IF(F35&gt;=5,"Modéré","Faible")))</x:f>
        <x:v>Élevé</x:v>
      </x:c>
      <x:c r="H35" t="str">
        <x:v>Stratégie</x:v>
      </x:c>
      <x:c r="I35" t="str">
        <x:v>Veille concurrentielle</x:v>
      </x:c>
      <x:c r="J35" t="n">
        <x:v>2</x:v>
      </x:c>
      <x:c r="K35" t="n">
        <x:v>4</x:v>
      </x:c>
      <x:c r="L35" t="n">
        <x:f>J35*K35</x:f>
        <x:v>8</x:v>
      </x:c>
      <x:c r="M35" t="str">
        <x:f>IF(L35&gt;=15,"Critique",IF(L35&gt;=9,"Élevé",IF(L35&gt;=5,"Modéré","Faible")))</x:f>
        <x:v>Modéré</x:v>
      </x:c>
      <x:c r="N35" t="str">
        <x:v>Planifié</x:v>
      </x:c>
      <x:c r="O35" t="str">
        <x:v>Part de marché</x:v>
      </x:c>
      <x:c r="P35" t="str">
        <x:v>T2 2027</x:v>
      </x:c>
    </x:row>
    <x:row r="36" ht="25" customHeight="1">
      <x:c r="A36" t="str">
        <x:v>R032</x:v>
      </x:c>
      <x:c r="B36" t="str">
        <x:v>Hausse coût énergie</x:v>
      </x:c>
      <x:c r="C36" t="str">
        <x:v>Stratégique</x:v>
      </x:c>
      <x:c r="D36" t="n">
        <x:v>4</x:v>
      </x:c>
      <x:c r="E36" t="n">
        <x:v>3</x:v>
      </x:c>
      <x:c r="F36" t="n">
        <x:f>D36*E36</x:f>
        <x:v>12</x:v>
      </x:c>
      <x:c r="G36" t="str">
        <x:f>IF(F36&gt;=15,"Critique",IF(F36&gt;=9,"Élevé",IF(F36&gt;=5,"Modéré","Faible")))</x:f>
        <x:v>Élevé</x:v>
      </x:c>
      <x:c r="H36" t="str">
        <x:v>Opérations</x:v>
      </x:c>
      <x:c r="I36" t="str">
        <x:v>Optimisation énergie</x:v>
      </x:c>
      <x:c r="J36" t="n">
        <x:v>4</x:v>
      </x:c>
      <x:c r="K36" t="n">
        <x:v>3</x:v>
      </x:c>
      <x:c r="L36" t="n">
        <x:f>J36*K36</x:f>
        <x:v>12</x:v>
      </x:c>
      <x:c r="M36" t="str">
        <x:f>IF(L36&gt;=15,"Critique",IF(L36&gt;=9,"Élevé",IF(L36&gt;=5,"Modéré","Faible")))</x:f>
        <x:v>Élevé</x:v>
      </x:c>
      <x:c r="N36" t="str">
        <x:v>Terminé</x:v>
      </x:c>
      <x:c r="O36" t="str">
        <x:v>Coût énergétique / CA</x:v>
      </x:c>
      <x:c r="P36" t="str">
        <x:v>T3 2027</x:v>
      </x:c>
    </x:row>
    <x:row r="37" ht="25" customHeight="1">
      <x:c r="A37" t="str">
        <x:v>R033</x:v>
      </x:c>
      <x:c r="B37" t="str">
        <x:v>Retard lancement produit</x:v>
      </x:c>
      <x:c r="C37" t="str">
        <x:v>Stratégique</x:v>
      </x:c>
      <x:c r="D37" t="n">
        <x:v>3</x:v>
      </x:c>
      <x:c r="E37" t="n">
        <x:v>3</x:v>
      </x:c>
      <x:c r="F37" t="n">
        <x:f>D37*E37</x:f>
        <x:v>9</x:v>
      </x:c>
      <x:c r="G37" t="str">
        <x:f>IF(F37&gt;=15,"Critique",IF(F37&gt;=9,"Élevé",IF(F37&gt;=5,"Modéré","Faible")))</x:f>
        <x:v>Élevé</x:v>
      </x:c>
      <x:c r="H37" t="str">
        <x:v>Projet</x:v>
      </x:c>
      <x:c r="I37" t="str">
        <x:v>Gates projet, suivi jalons</x:v>
      </x:c>
      <x:c r="J37" t="n">
        <x:v>2</x:v>
      </x:c>
      <x:c r="K37" t="n">
        <x:v>3</x:v>
      </x:c>
      <x:c r="L37" t="n">
        <x:f>J37*K37</x:f>
        <x:v>6</x:v>
      </x:c>
      <x:c r="M37" t="str">
        <x:f>IF(L37&gt;=15,"Critique",IF(L37&gt;=9,"Élevé",IF(L37&gt;=5,"Modéré","Faible")))</x:f>
        <x:v>Modéré</x:v>
      </x:c>
      <x:c r="N37" t="str">
        <x:v>En cours</x:v>
      </x:c>
      <x:c r="O37" t="str">
        <x:v>Livrables en retard</x:v>
      </x:c>
      <x:c r="P37" t="str">
        <x:v>T1 2027</x:v>
      </x:c>
    </x:row>
    <x:row r="38" ht="25" customHeight="1">
      <x:c r="A38" t="str">
        <x:v>R034</x:v>
      </x:c>
      <x:c r="B38" t="str">
        <x:v>Obsolescence technologie</x:v>
      </x:c>
      <x:c r="C38" t="str">
        <x:v>Stratégique</x:v>
      </x:c>
      <x:c r="D38" t="n">
        <x:v>3</x:v>
      </x:c>
      <x:c r="E38" t="n">
        <x:v>4</x:v>
      </x:c>
      <x:c r="F38" t="n">
        <x:f>D38*E38</x:f>
        <x:v>12</x:v>
      </x:c>
      <x:c r="G38" t="str">
        <x:f>IF(F38&gt;=15,"Critique",IF(F38&gt;=9,"Élevé",IF(F38&gt;=5,"Modéré","Faible")))</x:f>
        <x:v>Élevé</x:v>
      </x:c>
      <x:c r="H38" t="str">
        <x:v>Innovation</x:v>
      </x:c>
      <x:c r="I38" t="str">
        <x:v>Roadmap et investissement</x:v>
      </x:c>
      <x:c r="J38" t="n">
        <x:v>2</x:v>
      </x:c>
      <x:c r="K38" t="n">
        <x:v>4</x:v>
      </x:c>
      <x:c r="L38" t="n">
        <x:f>J38*K38</x:f>
        <x:v>8</x:v>
      </x:c>
      <x:c r="M38" t="str">
        <x:f>IF(L38&gt;=15,"Critique",IF(L38&gt;=9,"Élevé",IF(L38&gt;=5,"Modéré","Faible")))</x:f>
        <x:v>Modéré</x:v>
      </x:c>
      <x:c r="N38" t="str">
        <x:v>Planifié</x:v>
      </x:c>
      <x:c r="O38" t="str">
        <x:v>Âge infrastructure</x:v>
      </x:c>
      <x:c r="P38" t="str">
        <x:v>T2 2027</x:v>
      </x:c>
    </x:row>
    <x:row r="39" ht="25" customHeight="1">
      <x:c r="A39" t="str">
        <x:v>R035</x:v>
      </x:c>
      <x:c r="B39" t="str">
        <x:v>Risque réputation</x:v>
      </x:c>
      <x:c r="C39" t="str">
        <x:v>Stratégique</x:v>
      </x:c>
      <x:c r="D39" t="n">
        <x:v>2</x:v>
      </x:c>
      <x:c r="E39" t="n">
        <x:v>5</x:v>
      </x:c>
      <x:c r="F39" t="n">
        <x:f>D39*E39</x:f>
        <x:v>10</x:v>
      </x:c>
      <x:c r="G39" t="str">
        <x:f>IF(F39&gt;=15,"Critique",IF(F39&gt;=9,"Élevé",IF(F39&gt;=5,"Modéré","Faible")))</x:f>
        <x:v>Élevé</x:v>
      </x:c>
      <x:c r="H39" t="str">
        <x:v>Communication</x:v>
      </x:c>
      <x:c r="I39" t="str">
        <x:v>Plan communication de crise</x:v>
      </x:c>
      <x:c r="J39" t="n">
        <x:v>1</x:v>
      </x:c>
      <x:c r="K39" t="n">
        <x:v>4</x:v>
      </x:c>
      <x:c r="L39" t="n">
        <x:f>J39*K39</x:f>
        <x:v>4</x:v>
      </x:c>
      <x:c r="M39" t="str">
        <x:f>IF(L39&gt;=15,"Critique",IF(L39&gt;=9,"Élevé",IF(L39&gt;=5,"Modéré","Faible")))</x:f>
        <x:v>Faible</x:v>
      </x:c>
      <x:c r="N39" t="str">
        <x:v>Terminé</x:v>
      </x:c>
      <x:c r="O39" t="str">
        <x:v>Alertes réputation</x:v>
      </x:c>
      <x:c r="P39" t="str">
        <x:v>T3 2027</x:v>
      </x:c>
    </x:row>
    <x:row r="40" ht="25" customHeight="1">
      <x:c r="A40" t="str">
        <x:v>R036</x:v>
      </x:c>
      <x:c r="B40" t="str">
        <x:v>Dépendance à un marché</x:v>
      </x:c>
      <x:c r="C40" t="str">
        <x:v>Stratégique</x:v>
      </x:c>
      <x:c r="D40" t="n">
        <x:v>3</x:v>
      </x:c>
      <x:c r="E40" t="n">
        <x:v>4</x:v>
      </x:c>
      <x:c r="F40" t="n">
        <x:f>D40*E40</x:f>
        <x:v>12</x:v>
      </x:c>
      <x:c r="G40" t="str">
        <x:f>IF(F40&gt;=15,"Critique",IF(F40&gt;=9,"Élevé",IF(F40&gt;=5,"Modéré","Faible")))</x:f>
        <x:v>Élevé</x:v>
      </x:c>
      <x:c r="H40" t="str">
        <x:v>Direction</x:v>
      </x:c>
      <x:c r="I40" t="str">
        <x:v>Développement zones alternatives</x:v>
      </x:c>
      <x:c r="J40" t="n">
        <x:v>3</x:v>
      </x:c>
      <x:c r="K40" t="n">
        <x:v>4</x:v>
      </x:c>
      <x:c r="L40" t="n">
        <x:f>J40*K40</x:f>
        <x:v>12</x:v>
      </x:c>
      <x:c r="M40" t="str">
        <x:f>IF(L40&gt;=15,"Critique",IF(L40&gt;=9,"Élevé",IF(L40&gt;=5,"Modéré","Faible")))</x:f>
        <x:v>Élevé</x:v>
      </x:c>
      <x:c r="N40" t="str">
        <x:v>En cours</x:v>
      </x:c>
      <x:c r="O40" t="str">
        <x:v>Poids marché principal</x:v>
      </x:c>
      <x:c r="P40" t="str">
        <x:v>T1 2027</x:v>
      </x:c>
    </x:row>
  </x:sheetData>
  <x:mergeCells>
    <x:mergeCell ref="A1:P2"/>
  </x:mergeCells>
  <x:conditionalFormatting sqref="F5:F40">
    <x:cfRule type="colorScale" priority="1">
      <x:colorScale>
        <x:cfvo type="min"/>
        <x:cfvo type="percentile" val="50"/>
        <x:cfvo type="max"/>
        <x:color rgb="FFDDF6EA"/>
        <x:color rgb="FFFFEDC4"/>
        <x:color rgb="FFFBC4C4"/>
      </x:colorScale>
    </x:cfRule>
  </x:conditionalFormatting>
  <x:conditionalFormatting sqref="L5:L40">
    <x:cfRule type="colorScale" priority="2">
      <x:colorScale>
        <x:cfvo type="min"/>
        <x:cfvo type="percentile" val="50"/>
        <x:cfvo type="max"/>
        <x:color rgb="FFDDF6EA"/>
        <x:color rgb="FFFFEDC4"/>
        <x:color rgb="FFFBC4C4"/>
      </x:colorScale>
    </x:cfRule>
  </x:conditionalFormatting>
  <x:dataValidations count="3">
    <x:dataValidation type="list" sqref="D5:E40">
      <x:formula1>"1,2,3,4,5"</x:formula1>
    </x:dataValidation>
    <x:dataValidation type="list" sqref="J5:K40">
      <x:formula1>"1,2,3,4,5"</x:formula1>
    </x:dataValidation>
    <x:dataValidation type="list" sqref="N5:N40">
      <x:formula1>"Planifié,En cours,Terminé"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18" hidden="0" customWidth="1"/>
    <x:col min="4" max="4" width="15" hidden="0" customWidth="1"/>
    <x:col min="5" max="5" width="18" hidden="0" customWidth="1"/>
    <x:col min="6" max="6" width="20" hidden="0" customWidth="1"/>
    <x:col min="7" max="7" width="48" hidden="0" customWidth="1"/>
    <x:col min="8" max="8" width="15" hidden="0" customWidth="1"/>
    <x:col min="9" max="9" width="14" hidden="0" customWidth="1"/>
    <x:col min="10" max="10" width="18" hidden="0" customWidth="1"/>
  </x:cols>
  <x:sheetData>
    <x:row r="1">
      <x:c r="A1" s="12" t="str">
        <x:v>PLAN DE MITIGATION  |  PRIORITÉS ET RESPONSABILITÉS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4" ht="29" customHeight="1">
      <x:c r="A4" s="15" t="str">
        <x:v>ID</x:v>
      </x:c>
      <x:c r="B4" s="15" t="str">
        <x:v>Risque</x:v>
      </x:c>
      <x:c r="C4" s="15" t="str">
        <x:v>Catégorie</x:v>
      </x:c>
      <x:c r="D4" s="15" t="str">
        <x:v>Score brut</x:v>
      </x:c>
      <x:c r="E4" s="15" t="str">
        <x:v>Score résiduel</x:v>
      </x:c>
      <x:c r="F4" s="15" t="str">
        <x:v>Pilote</x:v>
      </x:c>
      <x:c r="G4" s="15" t="str">
        <x:v>Mesure de mitigation</x:v>
      </x:c>
      <x:c r="H4" s="15" t="str">
        <x:v>Statut</x:v>
      </x:c>
      <x:c r="I4" s="15" t="str">
        <x:v>Échéance</x:v>
      </x:c>
      <x:c r="J4" s="15" t="str">
        <x:v>Priorité</x:v>
      </x:c>
    </x:row>
    <x:row r="5">
      <x:c r="A5" t="str">
        <x:f>REGISTRE_RISQUES!A5</x:f>
        <x:v>R001</x:v>
      </x:c>
      <x:c r="B5" t="str">
        <x:f>REGISTRE_RISQUES!B5</x:f>
        <x:v>Liquidité insuffisante</x:v>
      </x:c>
      <x:c r="C5" t="str">
        <x:f>REGISTRE_RISQUES!C5</x:f>
        <x:v>Financier</x:v>
      </x:c>
      <x:c r="D5" t="n">
        <x:f>REGISTRE_RISQUES!F5</x:f>
        <x:v>20</x:v>
      </x:c>
      <x:c r="E5" t="n">
        <x:f>REGISTRE_RISQUES!L5</x:f>
        <x:v>15</x:v>
      </x:c>
      <x:c r="F5" t="str">
        <x:f>REGISTRE_RISQUES!H5</x:f>
        <x:v>Trésorerie</x:v>
      </x:c>
      <x:c r="G5" t="str">
        <x:f>REGISTRE_RISQUES!I5</x:f>
        <x:v>Stress de liquidité, lignes de crédit</x:v>
      </x:c>
      <x:c r="H5" t="str">
        <x:f>REGISTRE_RISQUES!N5</x:f>
        <x:v>Planifié</x:v>
      </x:c>
      <x:c r="I5" t="str">
        <x:f>REGISTRE_RISQUES!P5</x:f>
        <x:v>T2 2027</x:v>
      </x:c>
      <x:c r="J5" t="str">
        <x:f>IF(D5&gt;=15,"URGENT",IF(D5&gt;=9,"PRIORITAIRE","STANDARD"))</x:f>
        <x:v>URGENT</x:v>
      </x:c>
    </x:row>
    <x:row r="6">
      <x:c r="A6" t="str">
        <x:f>REGISTRE_RISQUES!A6</x:f>
        <x:v>R002</x:v>
      </x:c>
      <x:c r="B6" t="str">
        <x:f>REGISTRE_RISQUES!B6</x:f>
        <x:v>Risque de taux</x:v>
      </x:c>
      <x:c r="C6" t="str">
        <x:f>REGISTRE_RISQUES!C6</x:f>
        <x:v>Financier</x:v>
      </x:c>
      <x:c r="D6" t="n">
        <x:f>REGISTRE_RISQUES!F6</x:f>
        <x:v>16</x:v>
      </x:c>
      <x:c r="E6" t="n">
        <x:f>REGISTRE_RISQUES!L6</x:f>
        <x:v>12</x:v>
      </x:c>
      <x:c r="F6" t="str">
        <x:f>REGISTRE_RISQUES!H6</x:f>
        <x:v>Trésorerie</x:v>
      </x:c>
      <x:c r="G6" t="str">
        <x:f>REGISTRE_RISQUES!I6</x:f>
        <x:v>Couverture et limites de duration</x:v>
      </x:c>
      <x:c r="H6" t="str">
        <x:f>REGISTRE_RISQUES!N6</x:f>
        <x:v>Terminé</x:v>
      </x:c>
      <x:c r="I6" t="str">
        <x:f>REGISTRE_RISQUES!P6</x:f>
        <x:v>T3 2027</x:v>
      </x:c>
      <x:c r="J6" t="str">
        <x:f>IF(D6&gt;=15,"URGENT",IF(D6&gt;=9,"PRIORITAIRE","STANDARD"))</x:f>
        <x:v>URGENT</x:v>
      </x:c>
    </x:row>
    <x:row r="7">
      <x:c r="A7" t="str">
        <x:f>REGISTRE_RISQUES!A7</x:f>
        <x:v>R003</x:v>
      </x:c>
      <x:c r="B7" t="str">
        <x:f>REGISTRE_RISQUES!B7</x:f>
        <x:v>Impayés clients</x:v>
      </x:c>
      <x:c r="C7" t="str">
        <x:f>REGISTRE_RISQUES!C7</x:f>
        <x:v>Financier</x:v>
      </x:c>
      <x:c r="D7" t="n">
        <x:f>REGISTRE_RISQUES!F7</x:f>
        <x:v>16</x:v>
      </x:c>
      <x:c r="E7" t="n">
        <x:f>REGISTRE_RISQUES!L7</x:f>
        <x:v>12</x:v>
      </x:c>
      <x:c r="F7" t="str">
        <x:f>REGISTRE_RISQUES!H7</x:f>
        <x:v>Crédit</x:v>
      </x:c>
      <x:c r="G7" t="str">
        <x:f>REGISTRE_RISQUES!I7</x:f>
        <x:v>Scoring et relances structurées</x:v>
      </x:c>
      <x:c r="H7" t="str">
        <x:f>REGISTRE_RISQUES!N7</x:f>
        <x:v>En cours</x:v>
      </x:c>
      <x:c r="I7" t="str">
        <x:f>REGISTRE_RISQUES!P7</x:f>
        <x:v>T1 2027</x:v>
      </x:c>
      <x:c r="J7" t="str">
        <x:f>IF(D7&gt;=15,"URGENT",IF(D7&gt;=9,"PRIORITAIRE","STANDARD"))</x:f>
        <x:v>URGENT</x:v>
      </x:c>
    </x:row>
    <x:row r="8">
      <x:c r="A8" t="str">
        <x:f>REGISTRE_RISQUES!A8</x:f>
        <x:v>R004</x:v>
      </x:c>
      <x:c r="B8" t="str">
        <x:f>REGISTRE_RISQUES!B8</x:f>
        <x:v>Risque de change</x:v>
      </x:c>
      <x:c r="C8" t="str">
        <x:f>REGISTRE_RISQUES!C8</x:f>
        <x:v>Financier</x:v>
      </x:c>
      <x:c r="D8" t="n">
        <x:f>REGISTRE_RISQUES!F8</x:f>
        <x:v>12</x:v>
      </x:c>
      <x:c r="E8" t="n">
        <x:f>REGISTRE_RISQUES!L8</x:f>
        <x:v>12</x:v>
      </x:c>
      <x:c r="F8" t="str">
        <x:f>REGISTRE_RISQUES!H8</x:f>
        <x:v>Trésorerie</x:v>
      </x:c>
      <x:c r="G8" t="str">
        <x:f>REGISTRE_RISQUES!I8</x:f>
        <x:v>Couverture des achats en devises</x:v>
      </x:c>
      <x:c r="H8" t="str">
        <x:f>REGISTRE_RISQUES!N8</x:f>
        <x:v>Planifié</x:v>
      </x:c>
      <x:c r="I8" t="str">
        <x:f>REGISTRE_RISQUES!P8</x:f>
        <x:v>T2 2027</x:v>
      </x:c>
      <x:c r="J8" t="str">
        <x:f>IF(D8&gt;=15,"URGENT",IF(D8&gt;=9,"PRIORITAIRE","STANDARD"))</x:f>
        <x:v>PRIORITAIRE</x:v>
      </x:c>
    </x:row>
    <x:row r="9">
      <x:c r="A9" t="str">
        <x:f>REGISTRE_RISQUES!A9</x:f>
        <x:v>R005</x:v>
      </x:c>
      <x:c r="B9" t="str">
        <x:f>REGISTRE_RISQUES!B9</x:f>
        <x:v>Erreur prévision de cash</x:v>
      </x:c>
      <x:c r="C9" t="str">
        <x:f>REGISTRE_RISQUES!C9</x:f>
        <x:v>Financier</x:v>
      </x:c>
      <x:c r="D9" t="n">
        <x:f>REGISTRE_RISQUES!F9</x:f>
        <x:v>12</x:v>
      </x:c>
      <x:c r="E9" t="n">
        <x:f>REGISTRE_RISQUES!L9</x:f>
        <x:v>6</x:v>
      </x:c>
      <x:c r="F9" t="str">
        <x:f>REGISTRE_RISQUES!H9</x:f>
        <x:v>FP&amp;A</x:v>
      </x:c>
      <x:c r="G9" t="str">
        <x:f>REGISTRE_RISQUES!I9</x:f>
        <x:v>Prévisions glissantes 13 semaines</x:v>
      </x:c>
      <x:c r="H9" t="str">
        <x:f>REGISTRE_RISQUES!N9</x:f>
        <x:v>Terminé</x:v>
      </x:c>
      <x:c r="I9" t="str">
        <x:f>REGISTRE_RISQUES!P9</x:f>
        <x:v>T3 2027</x:v>
      </x:c>
      <x:c r="J9" t="str">
        <x:f>IF(D9&gt;=15,"URGENT",IF(D9&gt;=9,"PRIORITAIRE","STANDARD"))</x:f>
        <x:v>PRIORITAIRE</x:v>
      </x:c>
    </x:row>
    <x:row r="10">
      <x:c r="A10" t="str">
        <x:f>REGISTRE_RISQUES!A10</x:f>
        <x:v>R006</x:v>
      </x:c>
      <x:c r="B10" t="str">
        <x:f>REGISTRE_RISQUES!B10</x:f>
        <x:v>Fraude aux paiements</x:v>
      </x:c>
      <x:c r="C10" t="str">
        <x:f>REGISTRE_RISQUES!C10</x:f>
        <x:v>Financier</x:v>
      </x:c>
      <x:c r="D10" t="n">
        <x:f>REGISTRE_RISQUES!F10</x:f>
        <x:v>10</x:v>
      </x:c>
      <x:c r="E10" t="n">
        <x:f>REGISTRE_RISQUES!L10</x:f>
        <x:v>5</x:v>
      </x:c>
      <x:c r="F10" t="str">
        <x:f>REGISTRE_RISQUES!H10</x:f>
        <x:v>Finance</x:v>
      </x:c>
      <x:c r="G10" t="str">
        <x:f>REGISTRE_RISQUES!I10</x:f>
        <x:v>Double validation et séparation tâches</x:v>
      </x:c>
      <x:c r="H10" t="str">
        <x:f>REGISTRE_RISQUES!N10</x:f>
        <x:v>En cours</x:v>
      </x:c>
      <x:c r="I10" t="str">
        <x:f>REGISTRE_RISQUES!P10</x:f>
        <x:v>T1 2027</x:v>
      </x:c>
      <x:c r="J10" t="str">
        <x:f>IF(D10&gt;=15,"URGENT",IF(D10&gt;=9,"PRIORITAIRE","STANDARD"))</x:f>
        <x:v>PRIORITAIRE</x:v>
      </x:c>
    </x:row>
    <x:row r="11">
      <x:c r="A11" t="str">
        <x:f>REGISTRE_RISQUES!A11</x:f>
        <x:v>R007</x:v>
      </x:c>
      <x:c r="B11" t="str">
        <x:f>REGISTRE_RISQUES!B11</x:f>
        <x:v>Surcoût d'emprunt</x:v>
      </x:c>
      <x:c r="C11" t="str">
        <x:f>REGISTRE_RISQUES!C11</x:f>
        <x:v>Financier</x:v>
      </x:c>
      <x:c r="D11" t="n">
        <x:f>REGISTRE_RISQUES!F11</x:f>
        <x:v>9</x:v>
      </x:c>
      <x:c r="E11" t="n">
        <x:f>REGISTRE_RISQUES!L11</x:f>
        <x:v>6</x:v>
      </x:c>
      <x:c r="F11" t="str">
        <x:f>REGISTRE_RISQUES!H11</x:f>
        <x:v>Finance</x:v>
      </x:c>
      <x:c r="G11" t="str">
        <x:f>REGISTRE_RISQUES!I11</x:f>
        <x:v>Renégociation et mix dette</x:v>
      </x:c>
      <x:c r="H11" t="str">
        <x:f>REGISTRE_RISQUES!N11</x:f>
        <x:v>Planifié</x:v>
      </x:c>
      <x:c r="I11" t="str">
        <x:f>REGISTRE_RISQUES!P11</x:f>
        <x:v>T2 2027</x:v>
      </x:c>
      <x:c r="J11" t="str">
        <x:f>IF(D11&gt;=15,"URGENT",IF(D11&gt;=9,"PRIORITAIRE","STANDARD"))</x:f>
        <x:v>PRIORITAIRE</x:v>
      </x:c>
    </x:row>
    <x:row r="12">
      <x:c r="A12" t="str">
        <x:f>REGISTRE_RISQUES!A12</x:f>
        <x:v>R008</x:v>
      </x:c>
      <x:c r="B12" t="str">
        <x:f>REGISTRE_RISQUES!B12</x:f>
        <x:v>Dérive budgétaire</x:v>
      </x:c>
      <x:c r="C12" t="str">
        <x:f>REGISTRE_RISQUES!C12</x:f>
        <x:v>Financier</x:v>
      </x:c>
      <x:c r="D12" t="n">
        <x:f>REGISTRE_RISQUES!F12</x:f>
        <x:v>12</x:v>
      </x:c>
      <x:c r="E12" t="n">
        <x:f>REGISTRE_RISQUES!L12</x:f>
        <x:v>12</x:v>
      </x:c>
      <x:c r="F12" t="str">
        <x:f>REGISTRE_RISQUES!H12</x:f>
        <x:v>Contrôle gestion</x:v>
      </x:c>
      <x:c r="G12" t="str">
        <x:f>REGISTRE_RISQUES!I12</x:f>
        <x:v>Seuils d'alerte et revue mensuelle</x:v>
      </x:c>
      <x:c r="H12" t="str">
        <x:f>REGISTRE_RISQUES!N12</x:f>
        <x:v>Terminé</x:v>
      </x:c>
      <x:c r="I12" t="str">
        <x:f>REGISTRE_RISQUES!P12</x:f>
        <x:v>T3 2027</x:v>
      </x:c>
      <x:c r="J12" t="str">
        <x:f>IF(D12&gt;=15,"URGENT",IF(D12&gt;=9,"PRIORITAIRE","STANDARD"))</x:f>
        <x:v>PRIORITAIRE</x:v>
      </x:c>
    </x:row>
    <x:row r="13">
      <x:c r="A13" t="str">
        <x:f>REGISTRE_RISQUES!A13</x:f>
        <x:v>R009</x:v>
      </x:c>
      <x:c r="B13" t="str">
        <x:f>REGISTRE_RISQUES!B13</x:f>
        <x:v>Interruption production</x:v>
      </x:c>
      <x:c r="C13" t="str">
        <x:f>REGISTRE_RISQUES!C13</x:f>
        <x:v>Opérationnel</x:v>
      </x:c>
      <x:c r="D13" t="n">
        <x:f>REGISTRE_RISQUES!F13</x:f>
        <x:v>15</x:v>
      </x:c>
      <x:c r="E13" t="n">
        <x:f>REGISTRE_RISQUES!L13</x:f>
        <x:v>10</x:v>
      </x:c>
      <x:c r="F13" t="str">
        <x:f>REGISTRE_RISQUES!H13</x:f>
        <x:v>Opérations</x:v>
      </x:c>
      <x:c r="G13" t="str">
        <x:f>REGISTRE_RISQUES!I13</x:f>
        <x:v>Plan continuité et maintenance</x:v>
      </x:c>
      <x:c r="H13" t="str">
        <x:f>REGISTRE_RISQUES!N13</x:f>
        <x:v>En cours</x:v>
      </x:c>
      <x:c r="I13" t="str">
        <x:f>REGISTRE_RISQUES!P13</x:f>
        <x:v>T1 2027</x:v>
      </x:c>
      <x:c r="J13" t="str">
        <x:f>IF(D13&gt;=15,"URGENT",IF(D13&gt;=9,"PRIORITAIRE","STANDARD"))</x:f>
        <x:v>URGENT</x:v>
      </x:c>
    </x:row>
    <x:row r="14">
      <x:c r="A14" t="str">
        <x:f>REGISTRE_RISQUES!A14</x:f>
        <x:v>R010</x:v>
      </x:c>
      <x:c r="B14" t="str">
        <x:f>REGISTRE_RISQUES!B14</x:f>
        <x:v>Défaillance fournisseur</x:v>
      </x:c>
      <x:c r="C14" t="str">
        <x:f>REGISTRE_RISQUES!C14</x:f>
        <x:v>Opérationnel</x:v>
      </x:c>
      <x:c r="D14" t="n">
        <x:f>REGISTRE_RISQUES!F14</x:f>
        <x:v>16</x:v>
      </x:c>
      <x:c r="E14" t="n">
        <x:f>REGISTRE_RISQUES!L14</x:f>
        <x:v>9</x:v>
      </x:c>
      <x:c r="F14" t="str">
        <x:f>REGISTRE_RISQUES!H14</x:f>
        <x:v>Achats</x:v>
      </x:c>
      <x:c r="G14" t="str">
        <x:f>REGISTRE_RISQUES!I14</x:f>
        <x:v>Double sourcing et stocks sécurité</x:v>
      </x:c>
      <x:c r="H14" t="str">
        <x:f>REGISTRE_RISQUES!N14</x:f>
        <x:v>Planifié</x:v>
      </x:c>
      <x:c r="I14" t="str">
        <x:f>REGISTRE_RISQUES!P14</x:f>
        <x:v>T2 2027</x:v>
      </x:c>
      <x:c r="J14" t="str">
        <x:f>IF(D14&gt;=15,"URGENT",IF(D14&gt;=9,"PRIORITAIRE","STANDARD"))</x:f>
        <x:v>URGENT</x:v>
      </x:c>
    </x:row>
    <x:row r="15">
      <x:c r="A15" t="str">
        <x:f>REGISTRE_RISQUES!A15</x:f>
        <x:v>R011</x:v>
      </x:c>
      <x:c r="B15" t="str">
        <x:f>REGISTRE_RISQUES!B15</x:f>
        <x:v>Erreurs de facturation</x:v>
      </x:c>
      <x:c r="C15" t="str">
        <x:f>REGISTRE_RISQUES!C15</x:f>
        <x:v>Opérationnel</x:v>
      </x:c>
      <x:c r="D15" t="n">
        <x:f>REGISTRE_RISQUES!F15</x:f>
        <x:v>9</x:v>
      </x:c>
      <x:c r="E15" t="n">
        <x:f>REGISTRE_RISQUES!L15</x:f>
        <x:v>6</x:v>
      </x:c>
      <x:c r="F15" t="str">
        <x:f>REGISTRE_RISQUES!H15</x:f>
        <x:v>Comptabilité</x:v>
      </x:c>
      <x:c r="G15" t="str">
        <x:f>REGISTRE_RISQUES!I15</x:f>
        <x:v>Contrôles automatisés</x:v>
      </x:c>
      <x:c r="H15" t="str">
        <x:f>REGISTRE_RISQUES!N15</x:f>
        <x:v>Terminé</x:v>
      </x:c>
      <x:c r="I15" t="str">
        <x:f>REGISTRE_RISQUES!P15</x:f>
        <x:v>T3 2027</x:v>
      </x:c>
      <x:c r="J15" t="str">
        <x:f>IF(D15&gt;=15,"URGENT",IF(D15&gt;=9,"PRIORITAIRE","STANDARD"))</x:f>
        <x:v>PRIORITAIRE</x:v>
      </x:c>
    </x:row>
    <x:row r="16">
      <x:c r="A16" t="str">
        <x:f>REGISTRE_RISQUES!A16</x:f>
        <x:v>R012</x:v>
      </x:c>
      <x:c r="B16" t="str">
        <x:f>REGISTRE_RISQUES!B16</x:f>
        <x:v>Perte collaborateurs clés</x:v>
      </x:c>
      <x:c r="C16" t="str">
        <x:f>REGISTRE_RISQUES!C16</x:f>
        <x:v>Opérationnel</x:v>
      </x:c>
      <x:c r="D16" t="n">
        <x:f>REGISTRE_RISQUES!F16</x:f>
        <x:v>12</x:v>
      </x:c>
      <x:c r="E16" t="n">
        <x:f>REGISTRE_RISQUES!L16</x:f>
        <x:v>12</x:v>
      </x:c>
      <x:c r="F16" t="str">
        <x:f>REGISTRE_RISQUES!H16</x:f>
        <x:v>RH</x:v>
      </x:c>
      <x:c r="G16" t="str">
        <x:f>REGISTRE_RISQUES!I16</x:f>
        <x:v>Plan succession, formation</x:v>
      </x:c>
      <x:c r="H16" t="str">
        <x:f>REGISTRE_RISQUES!N16</x:f>
        <x:v>En cours</x:v>
      </x:c>
      <x:c r="I16" t="str">
        <x:f>REGISTRE_RISQUES!P16</x:f>
        <x:v>T1 2027</x:v>
      </x:c>
      <x:c r="J16" t="str">
        <x:f>IF(D16&gt;=15,"URGENT",IF(D16&gt;=9,"PRIORITAIRE","STANDARD"))</x:f>
        <x:v>PRIORITAIRE</x:v>
      </x:c>
    </x:row>
    <x:row r="17">
      <x:c r="A17" t="str">
        <x:f>REGISTRE_RISQUES!A17</x:f>
        <x:v>R013</x:v>
      </x:c>
      <x:c r="B17" t="str">
        <x:f>REGISTRE_RISQUES!B17</x:f>
        <x:v>Incident HSE</x:v>
      </x:c>
      <x:c r="C17" t="str">
        <x:f>REGISTRE_RISQUES!C17</x:f>
        <x:v>Opérationnel</x:v>
      </x:c>
      <x:c r="D17" t="n">
        <x:f>REGISTRE_RISQUES!F17</x:f>
        <x:v>10</x:v>
      </x:c>
      <x:c r="E17" t="n">
        <x:f>REGISTRE_RISQUES!L17</x:f>
        <x:v>5</x:v>
      </x:c>
      <x:c r="F17" t="str">
        <x:f>REGISTRE_RISQUES!H17</x:f>
        <x:v>HSE</x:v>
      </x:c>
      <x:c r="G17" t="str">
        <x:f>REGISTRE_RISQUES!I17</x:f>
        <x:v>Audits sécurité et prévention</x:v>
      </x:c>
      <x:c r="H17" t="str">
        <x:f>REGISTRE_RISQUES!N17</x:f>
        <x:v>Planifié</x:v>
      </x:c>
      <x:c r="I17" t="str">
        <x:f>REGISTRE_RISQUES!P17</x:f>
        <x:v>T2 2027</x:v>
      </x:c>
      <x:c r="J17" t="str">
        <x:f>IF(D17&gt;=15,"URGENT",IF(D17&gt;=9,"PRIORITAIRE","STANDARD"))</x:f>
        <x:v>PRIORITAIRE</x:v>
      </x:c>
    </x:row>
    <x:row r="18">
      <x:c r="A18" t="str">
        <x:f>REGISTRE_RISQUES!A18</x:f>
        <x:v>R014</x:v>
      </x:c>
      <x:c r="B18" t="str">
        <x:f>REGISTRE_RISQUES!B18</x:f>
        <x:v>Erreur de clôture</x:v>
      </x:c>
      <x:c r="C18" t="str">
        <x:f>REGISTRE_RISQUES!C18</x:f>
        <x:v>Opérationnel</x:v>
      </x:c>
      <x:c r="D18" t="n">
        <x:f>REGISTRE_RISQUES!F18</x:f>
        <x:v>9</x:v>
      </x:c>
      <x:c r="E18" t="n">
        <x:f>REGISTRE_RISQUES!L18</x:f>
        <x:v>6</x:v>
      </x:c>
      <x:c r="F18" t="str">
        <x:f>REGISTRE_RISQUES!H18</x:f>
        <x:v>Comptabilité</x:v>
      </x:c>
      <x:c r="G18" t="str">
        <x:f>REGISTRE_RISQUES!I18</x:f>
        <x:v>Checklist et rapprochement</x:v>
      </x:c>
      <x:c r="H18" t="str">
        <x:f>REGISTRE_RISQUES!N18</x:f>
        <x:v>Terminé</x:v>
      </x:c>
      <x:c r="I18" t="str">
        <x:f>REGISTRE_RISQUES!P18</x:f>
        <x:v>T3 2027</x:v>
      </x:c>
      <x:c r="J18" t="str">
        <x:f>IF(D18&gt;=15,"URGENT",IF(D18&gt;=9,"PRIORITAIRE","STANDARD"))</x:f>
        <x:v>PRIORITAIRE</x:v>
      </x:c>
    </x:row>
    <x:row r="19">
      <x:c r="A19" t="str">
        <x:f>REGISTRE_RISQUES!A19</x:f>
        <x:v>R015</x:v>
      </x:c>
      <x:c r="B19" t="str">
        <x:f>REGISTRE_RISQUES!B19</x:f>
        <x:v>Retard logistique</x:v>
      </x:c>
      <x:c r="C19" t="str">
        <x:f>REGISTRE_RISQUES!C19</x:f>
        <x:v>Opérationnel</x:v>
      </x:c>
      <x:c r="D19" t="n">
        <x:f>REGISTRE_RISQUES!F19</x:f>
        <x:v>12</x:v>
      </x:c>
      <x:c r="E19" t="n">
        <x:f>REGISTRE_RISQUES!L19</x:f>
        <x:v>6</x:v>
      </x:c>
      <x:c r="F19" t="str">
        <x:f>REGISTRE_RISQUES!H19</x:f>
        <x:v>Supply chain</x:v>
      </x:c>
      <x:c r="G19" t="str">
        <x:f>REGISTRE_RISQUES!I19</x:f>
        <x:v>Plan transport secours</x:v>
      </x:c>
      <x:c r="H19" t="str">
        <x:f>REGISTRE_RISQUES!N19</x:f>
        <x:v>En cours</x:v>
      </x:c>
      <x:c r="I19" t="str">
        <x:f>REGISTRE_RISQUES!P19</x:f>
        <x:v>T1 2027</x:v>
      </x:c>
      <x:c r="J19" t="str">
        <x:f>IF(D19&gt;=15,"URGENT",IF(D19&gt;=9,"PRIORITAIRE","STANDARD"))</x:f>
        <x:v>PRIORITAIRE</x:v>
      </x:c>
    </x:row>
    <x:row r="20">
      <x:c r="A20" t="str">
        <x:f>REGISTRE_RISQUES!A20</x:f>
        <x:v>R016</x:v>
      </x:c>
      <x:c r="B20" t="str">
        <x:f>REGISTRE_RISQUES!B20</x:f>
        <x:v>Qualité produits</x:v>
      </x:c>
      <x:c r="C20" t="str">
        <x:f>REGISTRE_RISQUES!C20</x:f>
        <x:v>Opérationnel</x:v>
      </x:c>
      <x:c r="D20" t="n">
        <x:f>REGISTRE_RISQUES!F20</x:f>
        <x:v>12</x:v>
      </x:c>
      <x:c r="E20" t="n">
        <x:f>REGISTRE_RISQUES!L20</x:f>
        <x:v>12</x:v>
      </x:c>
      <x:c r="F20" t="str">
        <x:f>REGISTRE_RISQUES!H20</x:f>
        <x:v>Qualité</x:v>
      </x:c>
      <x:c r="G20" t="str">
        <x:f>REGISTRE_RISQUES!I20</x:f>
        <x:v>Tests et revue fournisseurs</x:v>
      </x:c>
      <x:c r="H20" t="str">
        <x:f>REGISTRE_RISQUES!N20</x:f>
        <x:v>Planifié</x:v>
      </x:c>
      <x:c r="I20" t="str">
        <x:f>REGISTRE_RISQUES!P20</x:f>
        <x:v>T2 2027</x:v>
      </x:c>
      <x:c r="J20" t="str">
        <x:f>IF(D20&gt;=15,"URGENT",IF(D20&gt;=9,"PRIORITAIRE","STANDARD"))</x:f>
        <x:v>PRIORITAIRE</x:v>
      </x:c>
    </x:row>
    <x:row r="21">
      <x:c r="A21" t="str">
        <x:f>REGISTRE_RISQUES!A21</x:f>
        <x:v>R017</x:v>
      </x:c>
      <x:c r="B21" t="str">
        <x:f>REGISTRE_RISQUES!B21</x:f>
        <x:v>Non-conformité fiscale</x:v>
      </x:c>
      <x:c r="C21" t="str">
        <x:f>REGISTRE_RISQUES!C21</x:f>
        <x:v>Conformité</x:v>
      </x:c>
      <x:c r="D21" t="n">
        <x:f>REGISTRE_RISQUES!F21</x:f>
        <x:v>15</x:v>
      </x:c>
      <x:c r="E21" t="n">
        <x:f>REGISTRE_RISQUES!L21</x:f>
        <x:v>10</x:v>
      </x:c>
      <x:c r="F21" t="str">
        <x:f>REGISTRE_RISQUES!H21</x:f>
        <x:v>Fiscalité</x:v>
      </x:c>
      <x:c r="G21" t="str">
        <x:f>REGISTRE_RISQUES!I21</x:f>
        <x:v>Veille fiscale et contrôle revue</x:v>
      </x:c>
      <x:c r="H21" t="str">
        <x:f>REGISTRE_RISQUES!N21</x:f>
        <x:v>Terminé</x:v>
      </x:c>
      <x:c r="I21" t="str">
        <x:f>REGISTRE_RISQUES!P21</x:f>
        <x:v>T3 2027</x:v>
      </x:c>
      <x:c r="J21" t="str">
        <x:f>IF(D21&gt;=15,"URGENT",IF(D21&gt;=9,"PRIORITAIRE","STANDARD"))</x:f>
        <x:v>URGENT</x:v>
      </x:c>
    </x:row>
    <x:row r="22">
      <x:c r="A22" t="str">
        <x:f>REGISTRE_RISQUES!A22</x:f>
        <x:v>R018</x:v>
      </x:c>
      <x:c r="B22" t="str">
        <x:f>REGISTRE_RISQUES!B22</x:f>
        <x:v>Non-respect RGPD/loi 09-08</x:v>
      </x:c>
      <x:c r="C22" t="str">
        <x:f>REGISTRE_RISQUES!C22</x:f>
        <x:v>Conformité</x:v>
      </x:c>
      <x:c r="D22" t="n">
        <x:f>REGISTRE_RISQUES!F22</x:f>
        <x:v>15</x:v>
      </x:c>
      <x:c r="E22" t="n">
        <x:f>REGISTRE_RISQUES!L22</x:f>
        <x:v>10</x:v>
      </x:c>
      <x:c r="F22" t="str">
        <x:f>REGISTRE_RISQUES!H22</x:f>
        <x:v>Juridique</x:v>
      </x:c>
      <x:c r="G22" t="str">
        <x:f>REGISTRE_RISQUES!I22</x:f>
        <x:v>Gouvernance des données</x:v>
      </x:c>
      <x:c r="H22" t="str">
        <x:f>REGISTRE_RISQUES!N22</x:f>
        <x:v>En cours</x:v>
      </x:c>
      <x:c r="I22" t="str">
        <x:f>REGISTRE_RISQUES!P22</x:f>
        <x:v>T1 2027</x:v>
      </x:c>
      <x:c r="J22" t="str">
        <x:f>IF(D22&gt;=15,"URGENT",IF(D22&gt;=9,"PRIORITAIRE","STANDARD"))</x:f>
        <x:v>URGENT</x:v>
      </x:c>
    </x:row>
    <x:row r="23">
      <x:c r="A23" t="str">
        <x:f>REGISTRE_RISQUES!A23</x:f>
        <x:v>R019</x:v>
      </x:c>
      <x:c r="B23" t="str">
        <x:f>REGISTRE_RISQUES!B23</x:f>
        <x:v>Défaut de piste d'audit</x:v>
      </x:c>
      <x:c r="C23" t="str">
        <x:f>REGISTRE_RISQUES!C23</x:f>
        <x:v>Conformité</x:v>
      </x:c>
      <x:c r="D23" t="n">
        <x:f>REGISTRE_RISQUES!F23</x:f>
        <x:v>12</x:v>
      </x:c>
      <x:c r="E23" t="n">
        <x:f>REGISTRE_RISQUES!L23</x:f>
        <x:v>8</x:v>
      </x:c>
      <x:c r="F23" t="str">
        <x:f>REGISTRE_RISQUES!H23</x:f>
        <x:v>Audit interne</x:v>
      </x:c>
      <x:c r="G23" t="str">
        <x:f>REGISTRE_RISQUES!I23</x:f>
        <x:v>Traçabilité des validations</x:v>
      </x:c>
      <x:c r="H23" t="str">
        <x:f>REGISTRE_RISQUES!N23</x:f>
        <x:v>Planifié</x:v>
      </x:c>
      <x:c r="I23" t="str">
        <x:f>REGISTRE_RISQUES!P23</x:f>
        <x:v>T2 2027</x:v>
      </x:c>
      <x:c r="J23" t="str">
        <x:f>IF(D23&gt;=15,"URGENT",IF(D23&gt;=9,"PRIORITAIRE","STANDARD"))</x:f>
        <x:v>PRIORITAIRE</x:v>
      </x:c>
    </x:row>
    <x:row r="24">
      <x:c r="A24" t="str">
        <x:f>REGISTRE_RISQUES!A24</x:f>
        <x:v>R020</x:v>
      </x:c>
      <x:c r="B24" t="str">
        <x:f>REGISTRE_RISQUES!B24</x:f>
        <x:v>Conflits d'intérêts</x:v>
      </x:c>
      <x:c r="C24" t="str">
        <x:f>REGISTRE_RISQUES!C24</x:f>
        <x:v>Conformité</x:v>
      </x:c>
      <x:c r="D24" t="n">
        <x:f>REGISTRE_RISQUES!F24</x:f>
        <x:v>8</x:v>
      </x:c>
      <x:c r="E24" t="n">
        <x:f>REGISTRE_RISQUES!L24</x:f>
        <x:v>6</x:v>
      </x:c>
      <x:c r="F24" t="str">
        <x:f>REGISTRE_RISQUES!H24</x:f>
        <x:v>Conformité</x:v>
      </x:c>
      <x:c r="G24" t="str">
        <x:f>REGISTRE_RISQUES!I24</x:f>
        <x:v>Déclarations annuelles</x:v>
      </x:c>
      <x:c r="H24" t="str">
        <x:f>REGISTRE_RISQUES!N24</x:f>
        <x:v>Terminé</x:v>
      </x:c>
      <x:c r="I24" t="str">
        <x:f>REGISTRE_RISQUES!P24</x:f>
        <x:v>T3 2027</x:v>
      </x:c>
      <x:c r="J24" t="str">
        <x:f>IF(D24&gt;=15,"URGENT",IF(D24&gt;=9,"PRIORITAIRE","STANDARD"))</x:f>
        <x:v>STANDARD</x:v>
      </x:c>
    </x:row>
    <x:row r="25">
      <x:c r="A25" t="str">
        <x:f>REGISTRE_RISQUES!A25</x:f>
        <x:v>R021</x:v>
      </x:c>
      <x:c r="B25" t="str">
        <x:f>REGISTRE_RISQUES!B25</x:f>
        <x:v>Non-conformité contractuelle</x:v>
      </x:c>
      <x:c r="C25" t="str">
        <x:f>REGISTRE_RISQUES!C25</x:f>
        <x:v>Conformité</x:v>
      </x:c>
      <x:c r="D25" t="n">
        <x:f>REGISTRE_RISQUES!F25</x:f>
        <x:v>9</x:v>
      </x:c>
      <x:c r="E25" t="n">
        <x:f>REGISTRE_RISQUES!L25</x:f>
        <x:v>6</x:v>
      </x:c>
      <x:c r="F25" t="str">
        <x:f>REGISTRE_RISQUES!H25</x:f>
        <x:v>Juridique</x:v>
      </x:c>
      <x:c r="G25" t="str">
        <x:f>REGISTRE_RISQUES!I25</x:f>
        <x:v>Référentiel contrats</x:v>
      </x:c>
      <x:c r="H25" t="str">
        <x:f>REGISTRE_RISQUES!N25</x:f>
        <x:v>En cours</x:v>
      </x:c>
      <x:c r="I25" t="str">
        <x:f>REGISTRE_RISQUES!P25</x:f>
        <x:v>T1 2027</x:v>
      </x:c>
      <x:c r="J25" t="str">
        <x:f>IF(D25&gt;=15,"URGENT",IF(D25&gt;=9,"PRIORITAIRE","STANDARD"))</x:f>
        <x:v>PRIORITAIRE</x:v>
      </x:c>
    </x:row>
    <x:row r="26">
      <x:c r="A26" t="str">
        <x:f>REGISTRE_RISQUES!A26</x:f>
        <x:v>R022</x:v>
      </x:c>
      <x:c r="B26" t="str">
        <x:f>REGISTRE_RISQUES!B26</x:f>
        <x:v>Sanctions réglementaires</x:v>
      </x:c>
      <x:c r="C26" t="str">
        <x:f>REGISTRE_RISQUES!C26</x:f>
        <x:v>Conformité</x:v>
      </x:c>
      <x:c r="D26" t="n">
        <x:f>REGISTRE_RISQUES!F26</x:f>
        <x:v>10</x:v>
      </x:c>
      <x:c r="E26" t="n">
        <x:f>REGISTRE_RISQUES!L26</x:f>
        <x:v>5</x:v>
      </x:c>
      <x:c r="F26" t="str">
        <x:f>REGISTRE_RISQUES!H26</x:f>
        <x:v>Conformité</x:v>
      </x:c>
      <x:c r="G26" t="str">
        <x:f>REGISTRE_RISQUES!I26</x:f>
        <x:v>Revue de conformité trimestrielle</x:v>
      </x:c>
      <x:c r="H26" t="str">
        <x:f>REGISTRE_RISQUES!N26</x:f>
        <x:v>Planifié</x:v>
      </x:c>
      <x:c r="I26" t="str">
        <x:f>REGISTRE_RISQUES!P26</x:f>
        <x:v>T2 2027</x:v>
      </x:c>
      <x:c r="J26" t="str">
        <x:f>IF(D26&gt;=15,"URGENT",IF(D26&gt;=9,"PRIORITAIRE","STANDARD"))</x:f>
        <x:v>PRIORITAIRE</x:v>
      </x:c>
    </x:row>
    <x:row r="27">
      <x:c r="A27" t="str">
        <x:f>REGISTRE_RISQUES!A27</x:f>
        <x:v>R023</x:v>
      </x:c>
      <x:c r="B27" t="str">
        <x:f>REGISTRE_RISQUES!B27</x:f>
        <x:v>Cyberattaque / ransomware</x:v>
      </x:c>
      <x:c r="C27" t="str">
        <x:f>REGISTRE_RISQUES!C27</x:f>
        <x:v>Cyber &amp; SI</x:v>
      </x:c>
      <x:c r="D27" t="n">
        <x:f>REGISTRE_RISQUES!F27</x:f>
        <x:v>20</x:v>
      </x:c>
      <x:c r="E27" t="n">
        <x:f>REGISTRE_RISQUES!L27</x:f>
        <x:v>15</x:v>
      </x:c>
      <x:c r="F27" t="str">
        <x:f>REGISTRE_RISQUES!H27</x:f>
        <x:v>DSI</x:v>
      </x:c>
      <x:c r="G27" t="str">
        <x:f>REGISTRE_RISQUES!I27</x:f>
        <x:v>Sauvegarde isolée, EDR, MFA</x:v>
      </x:c>
      <x:c r="H27" t="str">
        <x:f>REGISTRE_RISQUES!N27</x:f>
        <x:v>Terminé</x:v>
      </x:c>
      <x:c r="I27" t="str">
        <x:f>REGISTRE_RISQUES!P27</x:f>
        <x:v>T3 2027</x:v>
      </x:c>
      <x:c r="J27" t="str">
        <x:f>IF(D27&gt;=15,"URGENT",IF(D27&gt;=9,"PRIORITAIRE","STANDARD"))</x:f>
        <x:v>URGENT</x:v>
      </x:c>
    </x:row>
    <x:row r="28">
      <x:c r="A28" t="str">
        <x:f>REGISTRE_RISQUES!A28</x:f>
        <x:v>R024</x:v>
      </x:c>
      <x:c r="B28" t="str">
        <x:f>REGISTRE_RISQUES!B28</x:f>
        <x:v>Indisponibilité ERP</x:v>
      </x:c>
      <x:c r="C28" t="str">
        <x:f>REGISTRE_RISQUES!C28</x:f>
        <x:v>Cyber &amp; SI</x:v>
      </x:c>
      <x:c r="D28" t="n">
        <x:f>REGISTRE_RISQUES!F28</x:f>
        <x:v>16</x:v>
      </x:c>
      <x:c r="E28" t="n">
        <x:f>REGISTRE_RISQUES!L28</x:f>
        <x:v>16</x:v>
      </x:c>
      <x:c r="F28" t="str">
        <x:f>REGISTRE_RISQUES!H28</x:f>
        <x:v>DSI</x:v>
      </x:c>
      <x:c r="G28" t="str">
        <x:f>REGISTRE_RISQUES!I28</x:f>
        <x:v>Redondance et PRA</x:v>
      </x:c>
      <x:c r="H28" t="str">
        <x:f>REGISTRE_RISQUES!N28</x:f>
        <x:v>En cours</x:v>
      </x:c>
      <x:c r="I28" t="str">
        <x:f>REGISTRE_RISQUES!P28</x:f>
        <x:v>T1 2027</x:v>
      </x:c>
      <x:c r="J28" t="str">
        <x:f>IF(D28&gt;=15,"URGENT",IF(D28&gt;=9,"PRIORITAIRE","STANDARD"))</x:f>
        <x:v>URGENT</x:v>
      </x:c>
    </x:row>
    <x:row r="29">
      <x:c r="A29" t="str">
        <x:f>REGISTRE_RISQUES!A29</x:f>
        <x:v>R025</x:v>
      </x:c>
      <x:c r="B29" t="str">
        <x:f>REGISTRE_RISQUES!B29</x:f>
        <x:v>Fuite de données</x:v>
      </x:c>
      <x:c r="C29" t="str">
        <x:f>REGISTRE_RISQUES!C29</x:f>
        <x:v>Cyber &amp; SI</x:v>
      </x:c>
      <x:c r="D29" t="n">
        <x:f>REGISTRE_RISQUES!F29</x:f>
        <x:v>15</x:v>
      </x:c>
      <x:c r="E29" t="n">
        <x:f>REGISTRE_RISQUES!L29</x:f>
        <x:v>8</x:v>
      </x:c>
      <x:c r="F29" t="str">
        <x:f>REGISTRE_RISQUES!H29</x:f>
        <x:v>RSSI</x:v>
      </x:c>
      <x:c r="G29" t="str">
        <x:f>REGISTRE_RISQUES!I29</x:f>
        <x:v>Chiffrement, contrôle accès</x:v>
      </x:c>
      <x:c r="H29" t="str">
        <x:f>REGISTRE_RISQUES!N29</x:f>
        <x:v>Planifié</x:v>
      </x:c>
      <x:c r="I29" t="str">
        <x:f>REGISTRE_RISQUES!P29</x:f>
        <x:v>T2 2027</x:v>
      </x:c>
      <x:c r="J29" t="str">
        <x:f>IF(D29&gt;=15,"URGENT",IF(D29&gt;=9,"PRIORITAIRE","STANDARD"))</x:f>
        <x:v>URGENT</x:v>
      </x:c>
    </x:row>
    <x:row r="30">
      <x:c r="A30" t="str">
        <x:f>REGISTRE_RISQUES!A30</x:f>
        <x:v>R026</x:v>
      </x:c>
      <x:c r="B30" t="str">
        <x:f>REGISTRE_RISQUES!B30</x:f>
        <x:v>Accès non autorisé</x:v>
      </x:c>
      <x:c r="C30" t="str">
        <x:f>REGISTRE_RISQUES!C30</x:f>
        <x:v>Cyber &amp; SI</x:v>
      </x:c>
      <x:c r="D30" t="n">
        <x:f>REGISTRE_RISQUES!F30</x:f>
        <x:v>12</x:v>
      </x:c>
      <x:c r="E30" t="n">
        <x:f>REGISTRE_RISQUES!L30</x:f>
        <x:v>8</x:v>
      </x:c>
      <x:c r="F30" t="str">
        <x:f>REGISTRE_RISQUES!H30</x:f>
        <x:v>RSSI</x:v>
      </x:c>
      <x:c r="G30" t="str">
        <x:f>REGISTRE_RISQUES!I30</x:f>
        <x:v>Revue périodique habilitations</x:v>
      </x:c>
      <x:c r="H30" t="str">
        <x:f>REGISTRE_RISQUES!N30</x:f>
        <x:v>Terminé</x:v>
      </x:c>
      <x:c r="I30" t="str">
        <x:f>REGISTRE_RISQUES!P30</x:f>
        <x:v>T3 2027</x:v>
      </x:c>
      <x:c r="J30" t="str">
        <x:f>IF(D30&gt;=15,"URGENT",IF(D30&gt;=9,"PRIORITAIRE","STANDARD"))</x:f>
        <x:v>PRIORITAIRE</x:v>
      </x:c>
    </x:row>
    <x:row r="31">
      <x:c r="A31" t="str">
        <x:f>REGISTRE_RISQUES!A31</x:f>
        <x:v>R027</x:v>
      </x:c>
      <x:c r="B31" t="str">
        <x:f>REGISTRE_RISQUES!B31</x:f>
        <x:v>Erreur intégration données</x:v>
      </x:c>
      <x:c r="C31" t="str">
        <x:f>REGISTRE_RISQUES!C31</x:f>
        <x:v>Cyber &amp; SI</x:v>
      </x:c>
      <x:c r="D31" t="n">
        <x:f>REGISTRE_RISQUES!F31</x:f>
        <x:v>12</x:v>
      </x:c>
      <x:c r="E31" t="n">
        <x:f>REGISTRE_RISQUES!L31</x:f>
        <x:v>9</x:v>
      </x:c>
      <x:c r="F31" t="str">
        <x:f>REGISTRE_RISQUES!H31</x:f>
        <x:v>BI</x:v>
      </x:c>
      <x:c r="G31" t="str">
        <x:f>REGISTRE_RISQUES!I31</x:f>
        <x:v>Tests qualité et réconciliation</x:v>
      </x:c>
      <x:c r="H31" t="str">
        <x:f>REGISTRE_RISQUES!N31</x:f>
        <x:v>En cours</x:v>
      </x:c>
      <x:c r="I31" t="str">
        <x:f>REGISTRE_RISQUES!P31</x:f>
        <x:v>T1 2027</x:v>
      </x:c>
      <x:c r="J31" t="str">
        <x:f>IF(D31&gt;=15,"URGENT",IF(D31&gt;=9,"PRIORITAIRE","STANDARD"))</x:f>
        <x:v>PRIORITAIRE</x:v>
      </x:c>
    </x:row>
    <x:row r="32">
      <x:c r="A32" t="str">
        <x:f>REGISTRE_RISQUES!A32</x:f>
        <x:v>R028</x:v>
      </x:c>
      <x:c r="B32" t="str">
        <x:f>REGISTRE_RISQUES!B32</x:f>
        <x:v>Dépendance prestataire IT</x:v>
      </x:c>
      <x:c r="C32" t="str">
        <x:f>REGISTRE_RISQUES!C32</x:f>
        <x:v>Cyber &amp; SI</x:v>
      </x:c>
      <x:c r="D32" t="n">
        <x:f>REGISTRE_RISQUES!F32</x:f>
        <x:v>9</x:v>
      </x:c>
      <x:c r="E32" t="n">
        <x:f>REGISTRE_RISQUES!L32</x:f>
        <x:v>9</x:v>
      </x:c>
      <x:c r="F32" t="str">
        <x:f>REGISTRE_RISQUES!H32</x:f>
        <x:v>DSI</x:v>
      </x:c>
      <x:c r="G32" t="str">
        <x:f>REGISTRE_RISQUES!I32</x:f>
        <x:v>Clauses SLA et solution de repli</x:v>
      </x:c>
      <x:c r="H32" t="str">
        <x:f>REGISTRE_RISQUES!N32</x:f>
        <x:v>Planifié</x:v>
      </x:c>
      <x:c r="I32" t="str">
        <x:f>REGISTRE_RISQUES!P32</x:f>
        <x:v>T2 2027</x:v>
      </x:c>
      <x:c r="J32" t="str">
        <x:f>IF(D32&gt;=15,"URGENT",IF(D32&gt;=9,"PRIORITAIRE","STANDARD"))</x:f>
        <x:v>PRIORITAIRE</x:v>
      </x:c>
    </x:row>
    <x:row r="33">
      <x:c r="A33" t="str">
        <x:f>REGISTRE_RISQUES!A33</x:f>
        <x:v>R029</x:v>
      </x:c>
      <x:c r="B33" t="str">
        <x:f>REGISTRE_RISQUES!B33</x:f>
        <x:v>Baisse demande marché</x:v>
      </x:c>
      <x:c r="C33" t="str">
        <x:f>REGISTRE_RISQUES!C33</x:f>
        <x:v>Stratégique</x:v>
      </x:c>
      <x:c r="D33" t="n">
        <x:f>REGISTRE_RISQUES!F33</x:f>
        <x:v>16</x:v>
      </x:c>
      <x:c r="E33" t="n">
        <x:f>REGISTRE_RISQUES!L33</x:f>
        <x:v>12</x:v>
      </x:c>
      <x:c r="F33" t="str">
        <x:f>REGISTRE_RISQUES!H33</x:f>
        <x:v>Direction</x:v>
      </x:c>
      <x:c r="G33" t="str">
        <x:f>REGISTRE_RISQUES!I33</x:f>
        <x:v>Diversification portefeuille</x:v>
      </x:c>
      <x:c r="H33" t="str">
        <x:f>REGISTRE_RISQUES!N33</x:f>
        <x:v>Terminé</x:v>
      </x:c>
      <x:c r="I33" t="str">
        <x:f>REGISTRE_RISQUES!P33</x:f>
        <x:v>T3 2027</x:v>
      </x:c>
      <x:c r="J33" t="str">
        <x:f>IF(D33&gt;=15,"URGENT",IF(D33&gt;=9,"PRIORITAIRE","STANDARD"))</x:f>
        <x:v>URGENT</x:v>
      </x:c>
    </x:row>
    <x:row r="34">
      <x:c r="A34" t="str">
        <x:f>REGISTRE_RISQUES!A34</x:f>
        <x:v>R030</x:v>
      </x:c>
      <x:c r="B34" t="str">
        <x:f>REGISTRE_RISQUES!B34</x:f>
        <x:v>Concentration clients</x:v>
      </x:c>
      <x:c r="C34" t="str">
        <x:f>REGISTRE_RISQUES!C34</x:f>
        <x:v>Stratégique</x:v>
      </x:c>
      <x:c r="D34" t="n">
        <x:f>REGISTRE_RISQUES!F34</x:f>
        <x:v>16</x:v>
      </x:c>
      <x:c r="E34" t="n">
        <x:f>REGISTRE_RISQUES!L34</x:f>
        <x:v>9</x:v>
      </x:c>
      <x:c r="F34" t="str">
        <x:f>REGISTRE_RISQUES!H34</x:f>
        <x:v>Commercial</x:v>
      </x:c>
      <x:c r="G34" t="str">
        <x:f>REGISTRE_RISQUES!I34</x:f>
        <x:v>Diversification du portefeuille</x:v>
      </x:c>
      <x:c r="H34" t="str">
        <x:f>REGISTRE_RISQUES!N34</x:f>
        <x:v>En cours</x:v>
      </x:c>
      <x:c r="I34" t="str">
        <x:f>REGISTRE_RISQUES!P34</x:f>
        <x:v>T1 2027</x:v>
      </x:c>
      <x:c r="J34" t="str">
        <x:f>IF(D34&gt;=15,"URGENT",IF(D34&gt;=9,"PRIORITAIRE","STANDARD"))</x:f>
        <x:v>URGENT</x:v>
      </x:c>
    </x:row>
    <x:row r="35">
      <x:c r="A35" t="str">
        <x:f>REGISTRE_RISQUES!A35</x:f>
        <x:v>R031</x:v>
      </x:c>
      <x:c r="B35" t="str">
        <x:f>REGISTRE_RISQUES!B35</x:f>
        <x:v>Perte part de marché</x:v>
      </x:c>
      <x:c r="C35" t="str">
        <x:f>REGISTRE_RISQUES!C35</x:f>
        <x:v>Stratégique</x:v>
      </x:c>
      <x:c r="D35" t="n">
        <x:f>REGISTRE_RISQUES!F35</x:f>
        <x:v>12</x:v>
      </x:c>
      <x:c r="E35" t="n">
        <x:f>REGISTRE_RISQUES!L35</x:f>
        <x:v>8</x:v>
      </x:c>
      <x:c r="F35" t="str">
        <x:f>REGISTRE_RISQUES!H35</x:f>
        <x:v>Stratégie</x:v>
      </x:c>
      <x:c r="G35" t="str">
        <x:f>REGISTRE_RISQUES!I35</x:f>
        <x:v>Veille concurrentielle</x:v>
      </x:c>
      <x:c r="H35" t="str">
        <x:f>REGISTRE_RISQUES!N35</x:f>
        <x:v>Planifié</x:v>
      </x:c>
      <x:c r="I35" t="str">
        <x:f>REGISTRE_RISQUES!P35</x:f>
        <x:v>T2 2027</x:v>
      </x:c>
      <x:c r="J35" t="str">
        <x:f>IF(D35&gt;=15,"URGENT",IF(D35&gt;=9,"PRIORITAIRE","STANDARD"))</x:f>
        <x:v>PRIORITAIRE</x:v>
      </x:c>
    </x:row>
    <x:row r="36">
      <x:c r="A36" t="str">
        <x:f>REGISTRE_RISQUES!A36</x:f>
        <x:v>R032</x:v>
      </x:c>
      <x:c r="B36" t="str">
        <x:f>REGISTRE_RISQUES!B36</x:f>
        <x:v>Hausse coût énergie</x:v>
      </x:c>
      <x:c r="C36" t="str">
        <x:f>REGISTRE_RISQUES!C36</x:f>
        <x:v>Stratégique</x:v>
      </x:c>
      <x:c r="D36" t="n">
        <x:f>REGISTRE_RISQUES!F36</x:f>
        <x:v>12</x:v>
      </x:c>
      <x:c r="E36" t="n">
        <x:f>REGISTRE_RISQUES!L36</x:f>
        <x:v>12</x:v>
      </x:c>
      <x:c r="F36" t="str">
        <x:f>REGISTRE_RISQUES!H36</x:f>
        <x:v>Opérations</x:v>
      </x:c>
      <x:c r="G36" t="str">
        <x:f>REGISTRE_RISQUES!I36</x:f>
        <x:v>Optimisation énergie</x:v>
      </x:c>
      <x:c r="H36" t="str">
        <x:f>REGISTRE_RISQUES!N36</x:f>
        <x:v>Terminé</x:v>
      </x:c>
      <x:c r="I36" t="str">
        <x:f>REGISTRE_RISQUES!P36</x:f>
        <x:v>T3 2027</x:v>
      </x:c>
      <x:c r="J36" t="str">
        <x:f>IF(D36&gt;=15,"URGENT",IF(D36&gt;=9,"PRIORITAIRE","STANDARD"))</x:f>
        <x:v>PRIORITAIRE</x:v>
      </x:c>
    </x:row>
    <x:row r="37">
      <x:c r="A37" t="str">
        <x:f>REGISTRE_RISQUES!A37</x:f>
        <x:v>R033</x:v>
      </x:c>
      <x:c r="B37" t="str">
        <x:f>REGISTRE_RISQUES!B37</x:f>
        <x:v>Retard lancement produit</x:v>
      </x:c>
      <x:c r="C37" t="str">
        <x:f>REGISTRE_RISQUES!C37</x:f>
        <x:v>Stratégique</x:v>
      </x:c>
      <x:c r="D37" t="n">
        <x:f>REGISTRE_RISQUES!F37</x:f>
        <x:v>9</x:v>
      </x:c>
      <x:c r="E37" t="n">
        <x:f>REGISTRE_RISQUES!L37</x:f>
        <x:v>6</x:v>
      </x:c>
      <x:c r="F37" t="str">
        <x:f>REGISTRE_RISQUES!H37</x:f>
        <x:v>Projet</x:v>
      </x:c>
      <x:c r="G37" t="str">
        <x:f>REGISTRE_RISQUES!I37</x:f>
        <x:v>Gates projet, suivi jalons</x:v>
      </x:c>
      <x:c r="H37" t="str">
        <x:f>REGISTRE_RISQUES!N37</x:f>
        <x:v>En cours</x:v>
      </x:c>
      <x:c r="I37" t="str">
        <x:f>REGISTRE_RISQUES!P37</x:f>
        <x:v>T1 2027</x:v>
      </x:c>
      <x:c r="J37" t="str">
        <x:f>IF(D37&gt;=15,"URGENT",IF(D37&gt;=9,"PRIORITAIRE","STANDARD"))</x:f>
        <x:v>PRIORITAIRE</x:v>
      </x:c>
    </x:row>
    <x:row r="38">
      <x:c r="A38" t="str">
        <x:f>REGISTRE_RISQUES!A38</x:f>
        <x:v>R034</x:v>
      </x:c>
      <x:c r="B38" t="str">
        <x:f>REGISTRE_RISQUES!B38</x:f>
        <x:v>Obsolescence technologie</x:v>
      </x:c>
      <x:c r="C38" t="str">
        <x:f>REGISTRE_RISQUES!C38</x:f>
        <x:v>Stratégique</x:v>
      </x:c>
      <x:c r="D38" t="n">
        <x:f>REGISTRE_RISQUES!F38</x:f>
        <x:v>12</x:v>
      </x:c>
      <x:c r="E38" t="n">
        <x:f>REGISTRE_RISQUES!L38</x:f>
        <x:v>8</x:v>
      </x:c>
      <x:c r="F38" t="str">
        <x:f>REGISTRE_RISQUES!H38</x:f>
        <x:v>Innovation</x:v>
      </x:c>
      <x:c r="G38" t="str">
        <x:f>REGISTRE_RISQUES!I38</x:f>
        <x:v>Roadmap et investissement</x:v>
      </x:c>
      <x:c r="H38" t="str">
        <x:f>REGISTRE_RISQUES!N38</x:f>
        <x:v>Planifié</x:v>
      </x:c>
      <x:c r="I38" t="str">
        <x:f>REGISTRE_RISQUES!P38</x:f>
        <x:v>T2 2027</x:v>
      </x:c>
      <x:c r="J38" t="str">
        <x:f>IF(D38&gt;=15,"URGENT",IF(D38&gt;=9,"PRIORITAIRE","STANDARD"))</x:f>
        <x:v>PRIORITAIRE</x:v>
      </x:c>
    </x:row>
    <x:row r="39">
      <x:c r="A39" t="str">
        <x:f>REGISTRE_RISQUES!A39</x:f>
        <x:v>R035</x:v>
      </x:c>
      <x:c r="B39" t="str">
        <x:f>REGISTRE_RISQUES!B39</x:f>
        <x:v>Risque réputation</x:v>
      </x:c>
      <x:c r="C39" t="str">
        <x:f>REGISTRE_RISQUES!C39</x:f>
        <x:v>Stratégique</x:v>
      </x:c>
      <x:c r="D39" t="n">
        <x:f>REGISTRE_RISQUES!F39</x:f>
        <x:v>10</x:v>
      </x:c>
      <x:c r="E39" t="n">
        <x:f>REGISTRE_RISQUES!L39</x:f>
        <x:v>4</x:v>
      </x:c>
      <x:c r="F39" t="str">
        <x:f>REGISTRE_RISQUES!H39</x:f>
        <x:v>Communication</x:v>
      </x:c>
      <x:c r="G39" t="str">
        <x:f>REGISTRE_RISQUES!I39</x:f>
        <x:v>Plan communication de crise</x:v>
      </x:c>
      <x:c r="H39" t="str">
        <x:f>REGISTRE_RISQUES!N39</x:f>
        <x:v>Terminé</x:v>
      </x:c>
      <x:c r="I39" t="str">
        <x:f>REGISTRE_RISQUES!P39</x:f>
        <x:v>T3 2027</x:v>
      </x:c>
      <x:c r="J39" t="str">
        <x:f>IF(D39&gt;=15,"URGENT",IF(D39&gt;=9,"PRIORITAIRE","STANDARD"))</x:f>
        <x:v>PRIORITAIRE</x:v>
      </x:c>
    </x:row>
    <x:row r="40">
      <x:c r="A40" t="str">
        <x:f>REGISTRE_RISQUES!A40</x:f>
        <x:v>R036</x:v>
      </x:c>
      <x:c r="B40" t="str">
        <x:f>REGISTRE_RISQUES!B40</x:f>
        <x:v>Dépendance à un marché</x:v>
      </x:c>
      <x:c r="C40" t="str">
        <x:f>REGISTRE_RISQUES!C40</x:f>
        <x:v>Stratégique</x:v>
      </x:c>
      <x:c r="D40" t="n">
        <x:f>REGISTRE_RISQUES!F40</x:f>
        <x:v>12</x:v>
      </x:c>
      <x:c r="E40" t="n">
        <x:f>REGISTRE_RISQUES!L40</x:f>
        <x:v>12</x:v>
      </x:c>
      <x:c r="F40" t="str">
        <x:f>REGISTRE_RISQUES!H40</x:f>
        <x:v>Direction</x:v>
      </x:c>
      <x:c r="G40" t="str">
        <x:f>REGISTRE_RISQUES!I40</x:f>
        <x:v>Développement zones alternatives</x:v>
      </x:c>
      <x:c r="H40" t="str">
        <x:f>REGISTRE_RISQUES!N40</x:f>
        <x:v>En cours</x:v>
      </x:c>
      <x:c r="I40" t="str">
        <x:f>REGISTRE_RISQUES!P40</x:f>
        <x:v>T1 2027</x:v>
      </x:c>
      <x:c r="J40" t="str">
        <x:f>IF(D40&gt;=15,"URGENT",IF(D40&gt;=9,"PRIORITAIRE","STANDARD"))</x:f>
        <x:v>PRIORITAIRE</x:v>
      </x:c>
    </x:row>
  </x:sheetData>
  <x:mergeCells>
    <x:mergeCell ref="A1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>
      <x:c r="A1" s="18" t="str">
        <x:v>MATRICE DE CRITICITÉ 5 × 5  |  BRUT VS RÉSIDUEL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</x:row>
    <x:row r="4">
      <x:c r="A4" t="str">
        <x:v>Catégorie :</x:v>
      </x:c>
      <x:c r="B4" t="str">
        <x:v>Tous les risques</x:v>
      </x:c>
    </x:row>
    <x:row r="6">
      <x:c r="B6" t="str">
        <x:v>BRUT</x:v>
      </x:c>
      <x:c r="I6" t="str">
        <x:v>RÉSIDUEL</x:v>
      </x:c>
    </x:row>
    <x:row r="7">
      <x:c r="B7" t="n">
        <x:v>1</x:v>
      </x:c>
      <x:c r="C7" t="n">
        <x:v>2</x:v>
      </x:c>
      <x:c r="D7" t="n">
        <x:v>3</x:v>
      </x:c>
      <x:c r="E7" t="n">
        <x:v>4</x:v>
      </x:c>
      <x:c r="F7" t="n">
        <x:v>5</x:v>
      </x:c>
      <x:c r="I7" t="n">
        <x:v>1</x:v>
      </x:c>
      <x:c r="J7" t="n">
        <x:v>2</x:v>
      </x:c>
      <x:c r="K7" t="n">
        <x:v>3</x:v>
      </x:c>
      <x:c r="L7" t="n">
        <x:v>4</x:v>
      </x:c>
      <x:c r="M7" t="n">
        <x:v>5</x:v>
      </x:c>
    </x:row>
    <x:row r="8" ht="48" customHeight="1">
      <x:c r="A8" t="n">
        <x:v>5</x:v>
      </x:c>
      <x:c r="B8" s="23" t="n">
        <x:f>IF($B$4="Tous les risques",COUNTIFS(REGISTRE_RISQUES!$D$5:$D$40,$A8,REGISTRE_RISQUES!$E$5:$E$40,B$7),COUNTIFS(REGISTRE_RISQUES!$D$5:$D$40,$A8,REGISTRE_RISQUES!$E$5:$E$40,B$7,REGISTRE_RISQUES!$C$5:$C$40,$B$4))</x:f>
        <x:v>0</x:v>
      </x:c>
      <x:c r="C8" s="31" t="n">
        <x:f>IF($B$4="Tous les risques",COUNTIFS(REGISTRE_RISQUES!$D$5:$D$40,$A8,REGISTRE_RISQUES!$E$5:$E$40,C$7),COUNTIFS(REGISTRE_RISQUES!$D$5:$D$40,$A8,REGISTRE_RISQUES!$E$5:$E$40,C$7,REGISTRE_RISQUES!$C$5:$C$40,$B$4))</x:f>
        <x:v>0</x:v>
      </x:c>
      <x:c r="D8" s="39" t="n">
        <x:f>IF($B$4="Tous les risques",COUNTIFS(REGISTRE_RISQUES!$D$5:$D$40,$A8,REGISTRE_RISQUES!$E$5:$E$40,D$7),COUNTIFS(REGISTRE_RISQUES!$D$5:$D$40,$A8,REGISTRE_RISQUES!$E$5:$E$40,D$7,REGISTRE_RISQUES!$C$5:$C$40,$B$4))</x:f>
        <x:v>0</x:v>
      </x:c>
      <x:c r="E8" s="39" t="n">
        <x:f>IF($B$4="Tous les risques",COUNTIFS(REGISTRE_RISQUES!$D$5:$D$40,$A8,REGISTRE_RISQUES!$E$5:$E$40,E$7),COUNTIFS(REGISTRE_RISQUES!$D$5:$D$40,$A8,REGISTRE_RISQUES!$E$5:$E$40,E$7,REGISTRE_RISQUES!$C$5:$C$40,$B$4))</x:f>
        <x:v>0</x:v>
      </x:c>
      <x:c r="F8" s="39" t="n">
        <x:f>IF($B$4="Tous les risques",COUNTIFS(REGISTRE_RISQUES!$D$5:$D$40,$A8,REGISTRE_RISQUES!$E$5:$E$40,F$7),COUNTIFS(REGISTRE_RISQUES!$D$5:$D$40,$A8,REGISTRE_RISQUES!$E$5:$E$40,F$7,REGISTRE_RISQUES!$C$5:$C$40,$B$4))</x:f>
        <x:v>0</x:v>
      </x:c>
      <x:c r="H8" t="n">
        <x:v>5</x:v>
      </x:c>
      <x:c r="I8" s="23" t="n">
        <x:f>IF($B$4="Tous les risques",COUNTIFS(REGISTRE_RISQUES!$J$5:$J$40,$H8,REGISTRE_RISQUES!$K$5:$K$40,I$7),COUNTIFS(REGISTRE_RISQUES!$J$5:$J$40,$H8,REGISTRE_RISQUES!$K$5:$K$40,I$7,REGISTRE_RISQUES!$C$5:$C$40,$B$4))</x:f>
        <x:v>0</x:v>
      </x:c>
      <x:c r="J8" s="31" t="n">
        <x:f>IF($B$4="Tous les risques",COUNTIFS(REGISTRE_RISQUES!$J$5:$J$40,$H8,REGISTRE_RISQUES!$K$5:$K$40,J$7),COUNTIFS(REGISTRE_RISQUES!$J$5:$J$40,$H8,REGISTRE_RISQUES!$K$5:$K$40,J$7,REGISTRE_RISQUES!$C$5:$C$40,$B$4))</x:f>
        <x:v>0</x:v>
      </x:c>
      <x:c r="K8" s="39" t="n">
        <x:f>IF($B$4="Tous les risques",COUNTIFS(REGISTRE_RISQUES!$J$5:$J$40,$H8,REGISTRE_RISQUES!$K$5:$K$40,K$7),COUNTIFS(REGISTRE_RISQUES!$J$5:$J$40,$H8,REGISTRE_RISQUES!$K$5:$K$40,K$7,REGISTRE_RISQUES!$C$5:$C$40,$B$4))</x:f>
        <x:v>0</x:v>
      </x:c>
      <x:c r="L8" s="39" t="n">
        <x:f>IF($B$4="Tous les risques",COUNTIFS(REGISTRE_RISQUES!$J$5:$J$40,$H8,REGISTRE_RISQUES!$K$5:$K$40,L$7),COUNTIFS(REGISTRE_RISQUES!$J$5:$J$40,$H8,REGISTRE_RISQUES!$K$5:$K$40,L$7,REGISTRE_RISQUES!$C$5:$C$40,$B$4))</x:f>
        <x:v>0</x:v>
      </x:c>
      <x:c r="M8" s="39" t="n">
        <x:f>IF($B$4="Tous les risques",COUNTIFS(REGISTRE_RISQUES!$J$5:$J$40,$H8,REGISTRE_RISQUES!$K$5:$K$40,M$7),COUNTIFS(REGISTRE_RISQUES!$J$5:$J$40,$H8,REGISTRE_RISQUES!$K$5:$K$40,M$7,REGISTRE_RISQUES!$C$5:$C$40,$B$4))</x:f>
        <x:v>0</x:v>
      </x:c>
    </x:row>
    <x:row r="9" ht="48" customHeight="1">
      <x:c r="A9" t="n">
        <x:v>4</x:v>
      </x:c>
      <x:c r="B9" s="47" t="n">
        <x:f>IF($B$4="Tous les risques",COUNTIFS(REGISTRE_RISQUES!$D$5:$D$40,$A9,REGISTRE_RISQUES!$E$5:$E$40,B$7),COUNTIFS(REGISTRE_RISQUES!$D$5:$D$40,$A9,REGISTRE_RISQUES!$E$5:$E$40,B$7,REGISTRE_RISQUES!$C$5:$C$40,$B$4))</x:f>
        <x:v>0</x:v>
      </x:c>
      <x:c r="C9" s="23" t="n">
        <x:f>IF($B$4="Tous les risques",COUNTIFS(REGISTRE_RISQUES!$D$5:$D$40,$A9,REGISTRE_RISQUES!$E$5:$E$40,C$7),COUNTIFS(REGISTRE_RISQUES!$D$5:$D$40,$A9,REGISTRE_RISQUES!$E$5:$E$40,C$7,REGISTRE_RISQUES!$C$5:$C$40,$B$4))</x:f>
        <x:v>0</x:v>
      </x:c>
      <x:c r="D9" s="31" t="n">
        <x:f>IF($B$4="Tous les risques",COUNTIFS(REGISTRE_RISQUES!$D$5:$D$40,$A9,REGISTRE_RISQUES!$E$5:$E$40,D$7),COUNTIFS(REGISTRE_RISQUES!$D$5:$D$40,$A9,REGISTRE_RISQUES!$E$5:$E$40,D$7,REGISTRE_RISQUES!$C$5:$C$40,$B$4))</x:f>
        <x:v>4</x:v>
      </x:c>
      <x:c r="E9" s="39" t="n">
        <x:f>IF($B$4="Tous les risques",COUNTIFS(REGISTRE_RISQUES!$D$5:$D$40,$A9,REGISTRE_RISQUES!$E$5:$E$40,E$7),COUNTIFS(REGISTRE_RISQUES!$D$5:$D$40,$A9,REGISTRE_RISQUES!$E$5:$E$40,E$7,REGISTRE_RISQUES!$C$5:$C$40,$B$4))</x:f>
        <x:v>6</x:v>
      </x:c>
      <x:c r="F9" s="39" t="n">
        <x:f>IF($B$4="Tous les risques",COUNTIFS(REGISTRE_RISQUES!$D$5:$D$40,$A9,REGISTRE_RISQUES!$E$5:$E$40,F$7),COUNTIFS(REGISTRE_RISQUES!$D$5:$D$40,$A9,REGISTRE_RISQUES!$E$5:$E$40,F$7,REGISTRE_RISQUES!$C$5:$C$40,$B$4))</x:f>
        <x:v>2</x:v>
      </x:c>
      <x:c r="H9" t="n">
        <x:v>4</x:v>
      </x:c>
      <x:c r="I9" s="47" t="n">
        <x:f>IF($B$4="Tous les risques",COUNTIFS(REGISTRE_RISQUES!$J$5:$J$40,$H9,REGISTRE_RISQUES!$K$5:$K$40,I$7),COUNTIFS(REGISTRE_RISQUES!$J$5:$J$40,$H9,REGISTRE_RISQUES!$K$5:$K$40,I$7,REGISTRE_RISQUES!$C$5:$C$40,$B$4))</x:f>
        <x:v>0</x:v>
      </x:c>
      <x:c r="J9" s="23" t="n">
        <x:f>IF($B$4="Tous les risques",COUNTIFS(REGISTRE_RISQUES!$J$5:$J$40,$H9,REGISTRE_RISQUES!$K$5:$K$40,J$7),COUNTIFS(REGISTRE_RISQUES!$J$5:$J$40,$H9,REGISTRE_RISQUES!$K$5:$K$40,J$7,REGISTRE_RISQUES!$C$5:$C$40,$B$4))</x:f>
        <x:v>0</x:v>
      </x:c>
      <x:c r="K9" s="31" t="n">
        <x:f>IF($B$4="Tous les risques",COUNTIFS(REGISTRE_RISQUES!$J$5:$J$40,$H9,REGISTRE_RISQUES!$K$5:$K$40,K$7),COUNTIFS(REGISTRE_RISQUES!$J$5:$J$40,$H9,REGISTRE_RISQUES!$K$5:$K$40,K$7,REGISTRE_RISQUES!$C$5:$C$40,$B$4))</x:f>
        <x:v>2</x:v>
      </x:c>
      <x:c r="L9" s="39" t="n">
        <x:f>IF($B$4="Tous les risques",COUNTIFS(REGISTRE_RISQUES!$J$5:$J$40,$H9,REGISTRE_RISQUES!$K$5:$K$40,L$7),COUNTIFS(REGISTRE_RISQUES!$J$5:$J$40,$H9,REGISTRE_RISQUES!$K$5:$K$40,L$7,REGISTRE_RISQUES!$C$5:$C$40,$B$4))</x:f>
        <x:v>1</x:v>
      </x:c>
      <x:c r="M9" s="39" t="n">
        <x:f>IF($B$4="Tous les risques",COUNTIFS(REGISTRE_RISQUES!$J$5:$J$40,$H9,REGISTRE_RISQUES!$K$5:$K$40,M$7),COUNTIFS(REGISTRE_RISQUES!$J$5:$J$40,$H9,REGISTRE_RISQUES!$K$5:$K$40,M$7,REGISTRE_RISQUES!$C$5:$C$40,$B$4))</x:f>
        <x:v>0</x:v>
      </x:c>
    </x:row>
    <x:row r="10" ht="48" customHeight="1">
      <x:c r="A10" t="n">
        <x:v>3</x:v>
      </x:c>
      <x:c r="B10" s="47" t="n">
        <x:f>IF($B$4="Tous les risques",COUNTIFS(REGISTRE_RISQUES!$D$5:$D$40,$A10,REGISTRE_RISQUES!$E$5:$E$40,B$7),COUNTIFS(REGISTRE_RISQUES!$D$5:$D$40,$A10,REGISTRE_RISQUES!$E$5:$E$40,B$7,REGISTRE_RISQUES!$C$5:$C$40,$B$4))</x:f>
        <x:v>0</x:v>
      </x:c>
      <x:c r="C10" s="23" t="n">
        <x:f>IF($B$4="Tous les risques",COUNTIFS(REGISTRE_RISQUES!$D$5:$D$40,$A10,REGISTRE_RISQUES!$E$5:$E$40,C$7),COUNTIFS(REGISTRE_RISQUES!$D$5:$D$40,$A10,REGISTRE_RISQUES!$E$5:$E$40,C$7,REGISTRE_RISQUES!$C$5:$C$40,$B$4))</x:f>
        <x:v>0</x:v>
      </x:c>
      <x:c r="D10" s="31" t="n">
        <x:f>IF($B$4="Tous les risques",COUNTIFS(REGISTRE_RISQUES!$D$5:$D$40,$A10,REGISTRE_RISQUES!$E$5:$E$40,D$7),COUNTIFS(REGISTRE_RISQUES!$D$5:$D$40,$A10,REGISTRE_RISQUES!$E$5:$E$40,D$7,REGISTRE_RISQUES!$C$5:$C$40,$B$4))</x:f>
        <x:v>6</x:v>
      </x:c>
      <x:c r="E10" s="31" t="n">
        <x:f>IF($B$4="Tous les risques",COUNTIFS(REGISTRE_RISQUES!$D$5:$D$40,$A10,REGISTRE_RISQUES!$E$5:$E$40,E$7),COUNTIFS(REGISTRE_RISQUES!$D$5:$D$40,$A10,REGISTRE_RISQUES!$E$5:$E$40,E$7,REGISTRE_RISQUES!$C$5:$C$40,$B$4))</x:f>
        <x:v>9</x:v>
      </x:c>
      <x:c r="F10" s="39" t="n">
        <x:f>IF($B$4="Tous les risques",COUNTIFS(REGISTRE_RISQUES!$D$5:$D$40,$A10,REGISTRE_RISQUES!$E$5:$E$40,F$7),COUNTIFS(REGISTRE_RISQUES!$D$5:$D$40,$A10,REGISTRE_RISQUES!$E$5:$E$40,F$7,REGISTRE_RISQUES!$C$5:$C$40,$B$4))</x:f>
        <x:v>4</x:v>
      </x:c>
      <x:c r="H10" t="n">
        <x:v>3</x:v>
      </x:c>
      <x:c r="I10" s="47" t="n">
        <x:f>IF($B$4="Tous les risques",COUNTIFS(REGISTRE_RISQUES!$J$5:$J$40,$H10,REGISTRE_RISQUES!$K$5:$K$40,I$7),COUNTIFS(REGISTRE_RISQUES!$J$5:$J$40,$H10,REGISTRE_RISQUES!$K$5:$K$40,I$7,REGISTRE_RISQUES!$C$5:$C$40,$B$4))</x:f>
        <x:v>0</x:v>
      </x:c>
      <x:c r="J10" s="23" t="n">
        <x:f>IF($B$4="Tous les risques",COUNTIFS(REGISTRE_RISQUES!$J$5:$J$40,$H10,REGISTRE_RISQUES!$K$5:$K$40,J$7),COUNTIFS(REGISTRE_RISQUES!$J$5:$J$40,$H10,REGISTRE_RISQUES!$K$5:$K$40,J$7,REGISTRE_RISQUES!$C$5:$C$40,$B$4))</x:f>
        <x:v>1</x:v>
      </x:c>
      <x:c r="K10" s="31" t="n">
        <x:f>IF($B$4="Tous les risques",COUNTIFS(REGISTRE_RISQUES!$J$5:$J$40,$H10,REGISTRE_RISQUES!$K$5:$K$40,K$7),COUNTIFS(REGISTRE_RISQUES!$J$5:$J$40,$H10,REGISTRE_RISQUES!$K$5:$K$40,K$7,REGISTRE_RISQUES!$C$5:$C$40,$B$4))</x:f>
        <x:v>4</x:v>
      </x:c>
      <x:c r="L10" s="31" t="n">
        <x:f>IF($B$4="Tous les risques",COUNTIFS(REGISTRE_RISQUES!$J$5:$J$40,$H10,REGISTRE_RISQUES!$K$5:$K$40,L$7),COUNTIFS(REGISTRE_RISQUES!$J$5:$J$40,$H10,REGISTRE_RISQUES!$K$5:$K$40,L$7,REGISTRE_RISQUES!$C$5:$C$40,$B$4))</x:f>
        <x:v>7</x:v>
      </x:c>
      <x:c r="M10" s="39" t="n">
        <x:f>IF($B$4="Tous les risques",COUNTIFS(REGISTRE_RISQUES!$J$5:$J$40,$H10,REGISTRE_RISQUES!$K$5:$K$40,M$7),COUNTIFS(REGISTRE_RISQUES!$J$5:$J$40,$H10,REGISTRE_RISQUES!$K$5:$K$40,M$7,REGISTRE_RISQUES!$C$5:$C$40,$B$4))</x:f>
        <x:v>2</x:v>
      </x:c>
    </x:row>
    <x:row r="11" ht="48" customHeight="1">
      <x:c r="A11" t="n">
        <x:v>2</x:v>
      </x:c>
      <x:c r="B11" s="47" t="n">
        <x:f>IF($B$4="Tous les risques",COUNTIFS(REGISTRE_RISQUES!$D$5:$D$40,$A11,REGISTRE_RISQUES!$E$5:$E$40,B$7),COUNTIFS(REGISTRE_RISQUES!$D$5:$D$40,$A11,REGISTRE_RISQUES!$E$5:$E$40,B$7,REGISTRE_RISQUES!$C$5:$C$40,$B$4))</x:f>
        <x:v>0</x:v>
      </x:c>
      <x:c r="C11" s="47" t="n">
        <x:f>IF($B$4="Tous les risques",COUNTIFS(REGISTRE_RISQUES!$D$5:$D$40,$A11,REGISTRE_RISQUES!$E$5:$E$40,C$7),COUNTIFS(REGISTRE_RISQUES!$D$5:$D$40,$A11,REGISTRE_RISQUES!$E$5:$E$40,C$7,REGISTRE_RISQUES!$C$5:$C$40,$B$4))</x:f>
        <x:v>0</x:v>
      </x:c>
      <x:c r="D11" s="23" t="n">
        <x:f>IF($B$4="Tous les risques",COUNTIFS(REGISTRE_RISQUES!$D$5:$D$40,$A11,REGISTRE_RISQUES!$E$5:$E$40,D$7),COUNTIFS(REGISTRE_RISQUES!$D$5:$D$40,$A11,REGISTRE_RISQUES!$E$5:$E$40,D$7,REGISTRE_RISQUES!$C$5:$C$40,$B$4))</x:f>
        <x:v>0</x:v>
      </x:c>
      <x:c r="E11" s="23" t="n">
        <x:f>IF($B$4="Tous les risques",COUNTIFS(REGISTRE_RISQUES!$D$5:$D$40,$A11,REGISTRE_RISQUES!$E$5:$E$40,E$7),COUNTIFS(REGISTRE_RISQUES!$D$5:$D$40,$A11,REGISTRE_RISQUES!$E$5:$E$40,E$7,REGISTRE_RISQUES!$C$5:$C$40,$B$4))</x:f>
        <x:v>1</x:v>
      </x:c>
      <x:c r="F11" s="31" t="n">
        <x:f>IF($B$4="Tous les risques",COUNTIFS(REGISTRE_RISQUES!$D$5:$D$40,$A11,REGISTRE_RISQUES!$E$5:$E$40,F$7),COUNTIFS(REGISTRE_RISQUES!$D$5:$D$40,$A11,REGISTRE_RISQUES!$E$5:$E$40,F$7,REGISTRE_RISQUES!$C$5:$C$40,$B$4))</x:f>
        <x:v>4</x:v>
      </x:c>
      <x:c r="H11" t="n">
        <x:v>2</x:v>
      </x:c>
      <x:c r="I11" s="47" t="n">
        <x:f>IF($B$4="Tous les risques",COUNTIFS(REGISTRE_RISQUES!$J$5:$J$40,$H11,REGISTRE_RISQUES!$K$5:$K$40,I$7),COUNTIFS(REGISTRE_RISQUES!$J$5:$J$40,$H11,REGISTRE_RISQUES!$K$5:$K$40,I$7,REGISTRE_RISQUES!$C$5:$C$40,$B$4))</x:f>
        <x:v>0</x:v>
      </x:c>
      <x:c r="J11" s="47" t="n">
        <x:f>IF($B$4="Tous les risques",COUNTIFS(REGISTRE_RISQUES!$J$5:$J$40,$H11,REGISTRE_RISQUES!$K$5:$K$40,J$7),COUNTIFS(REGISTRE_RISQUES!$J$5:$J$40,$H11,REGISTRE_RISQUES!$K$5:$K$40,J$7,REGISTRE_RISQUES!$C$5:$C$40,$B$4))</x:f>
        <x:v>0</x:v>
      </x:c>
      <x:c r="K11" s="23" t="n">
        <x:f>IF($B$4="Tous les risques",COUNTIFS(REGISTRE_RISQUES!$J$5:$J$40,$H11,REGISTRE_RISQUES!$K$5:$K$40,K$7),COUNTIFS(REGISTRE_RISQUES!$J$5:$J$40,$H11,REGISTRE_RISQUES!$K$5:$K$40,K$7,REGISTRE_RISQUES!$C$5:$C$40,$B$4))</x:f>
        <x:v>7</x:v>
      </x:c>
      <x:c r="L11" s="23" t="n">
        <x:f>IF($B$4="Tous les risques",COUNTIFS(REGISTRE_RISQUES!$J$5:$J$40,$H11,REGISTRE_RISQUES!$K$5:$K$40,L$7),COUNTIFS(REGISTRE_RISQUES!$J$5:$J$40,$H11,REGISTRE_RISQUES!$K$5:$K$40,L$7,REGISTRE_RISQUES!$C$5:$C$40,$B$4))</x:f>
        <x:v>5</x:v>
      </x:c>
      <x:c r="M11" s="31" t="n">
        <x:f>IF($B$4="Tous les risques",COUNTIFS(REGISTRE_RISQUES!$J$5:$J$40,$H11,REGISTRE_RISQUES!$K$5:$K$40,M$7),COUNTIFS(REGISTRE_RISQUES!$J$5:$J$40,$H11,REGISTRE_RISQUES!$K$5:$K$40,M$7,REGISTRE_RISQUES!$C$5:$C$40,$B$4))</x:f>
        <x:v>3</x:v>
      </x:c>
    </x:row>
    <x:row r="12" ht="48" customHeight="1">
      <x:c r="A12" t="n">
        <x:v>1</x:v>
      </x:c>
      <x:c r="B12" s="47" t="n">
        <x:f>IF($B$4="Tous les risques",COUNTIFS(REGISTRE_RISQUES!$D$5:$D$40,$A12,REGISTRE_RISQUES!$E$5:$E$40,B$7),COUNTIFS(REGISTRE_RISQUES!$D$5:$D$40,$A12,REGISTRE_RISQUES!$E$5:$E$40,B$7,REGISTRE_RISQUES!$C$5:$C$40,$B$4))</x:f>
        <x:v>0</x:v>
      </x:c>
      <x:c r="C12" s="47" t="n">
        <x:f>IF($B$4="Tous les risques",COUNTIFS(REGISTRE_RISQUES!$D$5:$D$40,$A12,REGISTRE_RISQUES!$E$5:$E$40,C$7),COUNTIFS(REGISTRE_RISQUES!$D$5:$D$40,$A12,REGISTRE_RISQUES!$E$5:$E$40,C$7,REGISTRE_RISQUES!$C$5:$C$40,$B$4))</x:f>
        <x:v>0</x:v>
      </x:c>
      <x:c r="D12" s="47" t="n">
        <x:f>IF($B$4="Tous les risques",COUNTIFS(REGISTRE_RISQUES!$D$5:$D$40,$A12,REGISTRE_RISQUES!$E$5:$E$40,D$7),COUNTIFS(REGISTRE_RISQUES!$D$5:$D$40,$A12,REGISTRE_RISQUES!$E$5:$E$40,D$7,REGISTRE_RISQUES!$C$5:$C$40,$B$4))</x:f>
        <x:v>0</x:v>
      </x:c>
      <x:c r="E12" s="47" t="n">
        <x:f>IF($B$4="Tous les risques",COUNTIFS(REGISTRE_RISQUES!$D$5:$D$40,$A12,REGISTRE_RISQUES!$E$5:$E$40,E$7),COUNTIFS(REGISTRE_RISQUES!$D$5:$D$40,$A12,REGISTRE_RISQUES!$E$5:$E$40,E$7,REGISTRE_RISQUES!$C$5:$C$40,$B$4))</x:f>
        <x:v>0</x:v>
      </x:c>
      <x:c r="F12" s="23" t="n">
        <x:f>IF($B$4="Tous les risques",COUNTIFS(REGISTRE_RISQUES!$D$5:$D$40,$A12,REGISTRE_RISQUES!$E$5:$E$40,F$7),COUNTIFS(REGISTRE_RISQUES!$D$5:$D$40,$A12,REGISTRE_RISQUES!$E$5:$E$40,F$7,REGISTRE_RISQUES!$C$5:$C$40,$B$4))</x:f>
        <x:v>0</x:v>
      </x:c>
      <x:c r="H12" t="n">
        <x:v>1</x:v>
      </x:c>
      <x:c r="I12" s="47" t="n">
        <x:f>IF($B$4="Tous les risques",COUNTIFS(REGISTRE_RISQUES!$J$5:$J$40,$H12,REGISTRE_RISQUES!$K$5:$K$40,I$7),COUNTIFS(REGISTRE_RISQUES!$J$5:$J$40,$H12,REGISTRE_RISQUES!$K$5:$K$40,I$7,REGISTRE_RISQUES!$C$5:$C$40,$B$4))</x:f>
        <x:v>0</x:v>
      </x:c>
      <x:c r="J12" s="47" t="n">
        <x:f>IF($B$4="Tous les risques",COUNTIFS(REGISTRE_RISQUES!$J$5:$J$40,$H12,REGISTRE_RISQUES!$K$5:$K$40,J$7),COUNTIFS(REGISTRE_RISQUES!$J$5:$J$40,$H12,REGISTRE_RISQUES!$K$5:$K$40,J$7,REGISTRE_RISQUES!$C$5:$C$40,$B$4))</x:f>
        <x:v>0</x:v>
      </x:c>
      <x:c r="K12" s="47" t="n">
        <x:f>IF($B$4="Tous les risques",COUNTIFS(REGISTRE_RISQUES!$J$5:$J$40,$H12,REGISTRE_RISQUES!$K$5:$K$40,K$7),COUNTIFS(REGISTRE_RISQUES!$J$5:$J$40,$H12,REGISTRE_RISQUES!$K$5:$K$40,K$7,REGISTRE_RISQUES!$C$5:$C$40,$B$4))</x:f>
        <x:v>0</x:v>
      </x:c>
      <x:c r="L12" s="47" t="n">
        <x:f>IF($B$4="Tous les risques",COUNTIFS(REGISTRE_RISQUES!$J$5:$J$40,$H12,REGISTRE_RISQUES!$K$5:$K$40,L$7),COUNTIFS(REGISTRE_RISQUES!$J$5:$J$40,$H12,REGISTRE_RISQUES!$K$5:$K$40,L$7,REGISTRE_RISQUES!$C$5:$C$40,$B$4))</x:f>
        <x:v>1</x:v>
      </x:c>
      <x:c r="M12" s="23" t="n">
        <x:f>IF($B$4="Tous les risques",COUNTIFS(REGISTRE_RISQUES!$J$5:$J$40,$H12,REGISTRE_RISQUES!$K$5:$K$40,M$7),COUNTIFS(REGISTRE_RISQUES!$J$5:$J$40,$H12,REGISTRE_RISQUES!$K$5:$K$40,M$7,REGISTRE_RISQUES!$C$5:$C$40,$B$4))</x:f>
        <x:v>3</x:v>
      </x:c>
    </x:row>
    <x:row r="15">
      <x:c r="A15" s="54" t="str">
        <x:v>Cellules : nombre de risques | Vertical : probabilité 5 → 1 | Horizontal : impact 1 → 5. La couleur représente le score P × I.</x:v>
      </x:c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</x:row>
  </x:sheetData>
  <x:mergeCells>
    <x:mergeCell ref="A1:M2"/>
    <x:mergeCell ref="A15:M16"/>
  </x:mergeCells>
  <x:dataValidations count="1">
    <x:dataValidation type="list" sqref="B4">
      <x:formula1>"Tous les risques,Financier,Opérationnel,Conformité,Cyber &amp; SI,Stratégique"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8" hidden="0" customWidth="1"/>
    <x:col min="3" max="3" width="17" hidden="0" customWidth="1"/>
    <x:col min="4" max="4" width="18" hidden="0" customWidth="1"/>
  </x:cols>
  <x:sheetData>
    <x:row r="1">
      <x:c r="A1" s="3" t="str">
        <x:v>CONTRÔLES QUALITÉ — RISQUES</x:v>
      </x:c>
      <x:c r="B1" s="3"/>
      <x:c r="C1" s="3"/>
      <x:c r="D1" s="3"/>
    </x:row>
    <x:row r="2">
      <x:c r="A2" s="3"/>
      <x:c r="B2" s="3"/>
      <x:c r="C2" s="3"/>
      <x:c r="D2" s="3"/>
    </x:row>
    <x:row r="4">
      <x:c r="A4" s="15" t="str">
        <x:v>Test</x:v>
      </x:c>
      <x:c r="B4" s="15" t="str">
        <x:v>Valeur</x:v>
      </x:c>
      <x:c r="C4" s="15" t="str">
        <x:v>Attendu</x:v>
      </x:c>
      <x:c r="D4" s="15" t="str">
        <x:v>Résultat</x:v>
      </x:c>
    </x:row>
    <x:row r="5">
      <x:c r="A5" t="str">
        <x:v>Nombre risques</x:v>
      </x:c>
      <x:c r="B5" t="n">
        <x:f>COUNTA(REGISTRE_RISQUES!A5:A40)</x:f>
        <x:v>36</x:v>
      </x:c>
      <x:c r="C5" t="n">
        <x:v>36</x:v>
      </x:c>
      <x:c r="D5" t="str">
        <x:f>IF(B5=C5,"OK","À REVOIR")</x:f>
        <x:v>OK</x:v>
      </x:c>
    </x:row>
    <x:row r="6">
      <x:c r="A6" t="str">
        <x:v>Scores bruts de 1 à 25</x:v>
      </x:c>
      <x:c r="B6" t="n">
        <x:f>COUNTIFS(REGISTRE_RISQUES!F5:F40,"&gt;=1",REGISTRE_RISQUES!F5:F40,"&lt;=25")</x:f>
        <x:v>36</x:v>
      </x:c>
      <x:c r="C6" t="n">
        <x:v>36</x:v>
      </x:c>
      <x:c r="D6" t="str">
        <x:f>IF(B6=C6,"OK","À REVOIR")</x:f>
        <x:v>OK</x:v>
      </x:c>
    </x:row>
    <x:row r="7">
      <x:c r="A7" t="str">
        <x:v>Scores résiduels de 1 à 25</x:v>
      </x:c>
      <x:c r="B7" t="n">
        <x:f>COUNTIFS(REGISTRE_RISQUES!L5:L40,"&gt;=1",REGISTRE_RISQUES!L5:L40,"&lt;=25")</x:f>
        <x:v>36</x:v>
      </x:c>
      <x:c r="C7" t="n">
        <x:v>36</x:v>
      </x:c>
      <x:c r="D7" t="str">
        <x:f>IF(B7=C7,"OK","À REVOIR")</x:f>
        <x:v>OK</x:v>
      </x:c>
    </x:row>
    <x:row r="8">
      <x:c r="A8" t="str">
        <x:v>Résiduel supérieur au brut</x:v>
      </x:c>
      <x:c r="B8" t="n">
        <x:f>SUMPRODUCT(--(REGISTRE_RISQUES!L5:L40&gt;REGISTRE_RISQUES!F5:F40))</x:f>
        <x:v>0</x:v>
      </x:c>
      <x:c r="C8" t="n">
        <x:v>0</x:v>
      </x:c>
      <x:c r="D8" t="str">
        <x:f>IF(B8=C8,"OK","À REVOIR")</x:f>
        <x:v>OK</x:v>
      </x:c>
    </x:row>
    <x:row r="9">
      <x:c r="A9" t="str">
        <x:v>Responsable manquant</x:v>
      </x:c>
      <x:c r="B9" t="n">
        <x:f>COUNTBLANK(REGISTRE_RISQUES!H5:H40)</x:f>
        <x:v>0</x:v>
      </x:c>
      <x:c r="C9" t="n">
        <x:v>0</x:v>
      </x:c>
      <x:c r="D9" t="str">
        <x:f>IF(B9=C9,"OK","À REVOIR")</x:f>
        <x:v>OK</x:v>
      </x:c>
    </x:row>
    <x:row r="10">
      <x:c r="A10" t="str">
        <x:v>Action manquante</x:v>
      </x:c>
      <x:c r="B10" t="n">
        <x:f>COUNTBLANK(REGISTRE_RISQUES!I5:I40)</x:f>
        <x:v>0</x:v>
      </x:c>
      <x:c r="C10" t="n">
        <x:v>0</x:v>
      </x:c>
      <x:c r="D10" t="str">
        <x:f>IF(B10=C10,"OK","À REVOIR")</x:f>
        <x:v>OK</x:v>
      </x:c>
    </x:row>
  </x:sheetData>
  <x:mergeCells>
    <x:mergeCell ref="A1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45" hidden="0" customWidth="1"/>
  </x:cols>
  <x:sheetData>
    <x:row r="1" ht="31" customHeight="1">
      <x:c r="A1" s="3" t="str">
        <x:v>PARAMÈTRES &amp; RÈGLES</x:v>
      </x:c>
      <x:c r="B1" s="3" t="str">
        <x:v>Valeur</x:v>
      </x:c>
    </x:row>
    <x:row r="2">
      <x:c r="A2" t="str">
        <x:v>Entreprise</x:v>
      </x:c>
      <x:c r="B2" t="str">
        <x:v>NOVA Group Maroc (fictive)</x:v>
      </x:c>
    </x:row>
    <x:row r="3">
      <x:c r="A3" t="str">
        <x:v>Période</x:v>
      </x:c>
      <x:c r="B3" t="str">
        <x:v>Simulation 2026</x:v>
      </x:c>
    </x:row>
    <x:row r="4">
      <x:c r="A4" t="str">
        <x:v>Faible : score inférieur à</x:v>
      </x:c>
      <x:c r="B4" t="n">
        <x:v>5</x:v>
      </x:c>
    </x:row>
    <x:row r="5">
      <x:c r="A5" t="str">
        <x:v>Modéré : score inférieur à</x:v>
      </x:c>
      <x:c r="B5" t="n">
        <x:v>9</x:v>
      </x:c>
    </x:row>
    <x:row r="6">
      <x:c r="A6" t="str">
        <x:v>Élevé : score inférieur à</x:v>
      </x:c>
      <x:c r="B6" t="n">
        <x:v>15</x:v>
      </x:c>
    </x:row>
    <x:row r="7">
      <x:c r="A7" t="str">
        <x:v>Critique : score &gt;= </x:v>
      </x:c>
      <x:c r="B7" t="n">
        <x:v>15</x:v>
      </x:c>
    </x:row>
    <x:row r="8">
      <x:c r="A8" t="str">
        <x:v>Échelle de probabilité</x:v>
      </x:c>
      <x:c r="B8" t="str">
        <x:v>1 rare · 5 quasi certain</x:v>
      </x:c>
    </x:row>
    <x:row r="9">
      <x:c r="A9" t="str">
        <x:v>Échelle d'impact</x:v>
      </x:c>
      <x:c r="B9" t="str">
        <x:v>1 mineur · 5 majeur</x:v>
      </x:c>
    </x:row>
    <x:row r="10">
      <x:c r="A10" t="str">
        <x:v>Méthode</x:v>
      </x:c>
      <x:c r="B10" t="str">
        <x:v>Score = Probabilité × Impact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10" hidden="0" customWidth="1"/>
  </x:cols>
  <x:sheetData>
    <x:row r="1">
      <x:c r="A1" s="3" t="str">
        <x:v>ÉTUDE 05 — CARTOGRAPHIE DES RISQUES</x:v>
      </x:c>
      <x:c r="B1" s="3" t="str">
        <x:v>GUIDE</x:v>
      </x:c>
    </x:row>
    <x:row r="3">
      <x:c r="A3" t="str">
        <x:v>Objet</x:v>
      </x:c>
      <x:c r="B3" t="str">
        <x:v>Démontrer une démarche complète : identification, scoring, contrôle, mitigation, surveillance.</x:v>
      </x:c>
    </x:row>
    <x:row r="4">
      <x:c r="A4" t="str">
        <x:v>Entreprise</x:v>
      </x:c>
      <x:c r="B4" t="str">
        <x:v>NOVA Group Maroc — cas fictif pour portfolio académique.</x:v>
      </x:c>
    </x:row>
    <x:row r="5">
      <x:c r="A5" t="str">
        <x:v>Étape 1</x:v>
      </x:c>
      <x:c r="B5" t="str">
        <x:v>Compléter le registre et ajuster les notes probabilité/impact (1 à 5).</x:v>
      </x:c>
    </x:row>
    <x:row r="6">
      <x:c r="A6" t="str">
        <x:v>Étape 2</x:v>
      </x:c>
      <x:c r="B6" t="str">
        <x:v>Choisir une catégorie sur le dashboard ; les KPI sont recalculés.</x:v>
      </x:c>
    </x:row>
    <x:row r="7">
      <x:c r="A7" t="str">
        <x:v>Étape 3</x:v>
      </x:c>
      <x:c r="B7" t="str">
        <x:v>Étudier la heatmap 5×5 des risques bruts et résiduels.</x:v>
      </x:c>
    </x:row>
    <x:row r="8">
      <x:c r="A8" t="str">
        <x:v>Étape 4</x:v>
      </x:c>
      <x:c r="B8" t="str">
        <x:v>Consulter les actions, responsables, statuts et échéances.</x:v>
      </x:c>
    </x:row>
    <x:row r="9">
      <x:c r="A9" t="str">
        <x:v>Scores</x:v>
      </x:c>
      <x:c r="B9" t="str">
        <x:v>1 à 4 faible ; 5 à 8 modéré ; 9 à 14 élevé ; 15 à 25 critique.</x:v>
      </x:c>
    </x:row>
    <x:row r="10">
      <x:c r="A10" t="str">
        <x:v>Avant / après</x:v>
      </x:c>
      <x:c r="B10" t="str">
        <x:v>Le risque résiduel représente le risque après efficacité supposée des contrôles.</x:v>
      </x:c>
    </x:row>
    <x:row r="11">
      <x:c r="A11" t="str">
        <x:v>Attention</x:v>
      </x:c>
      <x:c r="B11" t="str">
        <x:v>Scoring ordinal : outil de priorisation, pas une mesure actuarielle.</x:v>
      </x:c>
    </x:row>
    <x:row r="12">
      <x:c r="A12" t="str">
        <x:v>Limites</x:v>
      </x:c>
      <x:c r="B12" t="str">
        <x:v>Toutes les évaluations et dates sont illustratives et non auditées.</x:v>
      </x:c>
    </x:row>
  </x:sheetData>
  <x:pageMargins left="0.7" right="0.7" top="0.75" bottom="0.75" header="0.3" footer="0.3"/>
</x:worksheet>
</file>