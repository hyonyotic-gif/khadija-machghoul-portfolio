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9117396dd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fb551a08f4c4965"/>
    <x:sheet xmlns:r="http://schemas.openxmlformats.org/officeDocument/2006/relationships" name="ANALYSE_CENTRES" sheetId="2" r:id="R08b1e8a6205d4925"/>
    <x:sheet xmlns:r="http://schemas.openxmlformats.org/officeDocument/2006/relationships" name="ANALYSE_POSTES" sheetId="3" r:id="R916acfb18fdf4961"/>
    <x:sheet xmlns:r="http://schemas.openxmlformats.org/officeDocument/2006/relationships" name="DONNEES_2026" sheetId="4" r:id="Rec01b4d993ea4a3a"/>
    <x:sheet xmlns:r="http://schemas.openxmlformats.org/officeDocument/2006/relationships" name="HYPOTHESES" sheetId="5" r:id="R86aa4ff2137748d5"/>
    <x:sheet xmlns:r="http://schemas.openxmlformats.org/officeDocument/2006/relationships" name="CONTROLES" sheetId="6" r:id="Rfc1361acd01a474a"/>
    <x:sheet xmlns:r="http://schemas.openxmlformats.org/officeDocument/2006/relationships" name="GUIDE" sheetId="7" r:id="Rb5ebd34aabb34a59"/>
    <x:sheet xmlns:r="http://schemas.openxmlformats.org/officeDocument/2006/relationships" name="DATA_VISU" sheetId="8" r:id="Rddc1970312f5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;[Red](#,##0);–"/>
    <x:numFmt numFmtId="202" formatCode="0.0%;[Red](0.0%);–"/>
    <x:numFmt numFmtId="203" formatCode="#,##0,,&quot; M&quot;;[Red](#,##0,,&quot; M&quot;);–"/>
    <x:numFmt numFmtId="204" formatCode="#,##0, &quot;MAD&quot;;[Red](#,##0), &quot;MAD&quot;;–"/>
  </x:numFmts>
  <x:fonts count="23">
    <x:font>
      <x:sz val="11"/>
      <x:name val="Carlito"/>
    </x:font>
    <x:font>
      <x:b/>
      <x:sz val="19"/>
      <x:color rgb="FFFFFFFF"/>
      <x:name val="Carlito"/>
    </x:font>
    <x:font>
      <x:sz val="10"/>
      <x:color rgb="FF526477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b/>
      <x:sz val="19"/>
      <x:color rgb="FF11243B"/>
      <x:name val="Carlito"/>
    </x:font>
    <x:font>
      <x:b/>
      <x:sz val="11"/>
      <x:color rgb="FF11243B"/>
      <x:name val="Carlito"/>
    </x:font>
    <x:font>
      <x:b/>
      <x:sz val="20"/>
      <x:color rgb="FFFFFFFF"/>
      <x:name val="Aptos"/>
    </x:font>
    <x:font>
      <x:b/>
      <x:sz val="10"/>
      <x:color rgb="FFAED2D5"/>
      <x:name val="Aptos"/>
    </x:font>
    <x:font>
      <x:b/>
      <x:sz val="10"/>
      <x:color rgb="FFFFFFFF"/>
      <x:name val="Aptos"/>
    </x:font>
    <x:font>
      <x:b/>
      <x:sz val="13"/>
      <x:color rgb="FF007E87"/>
      <x:name val="Aptos"/>
    </x:font>
    <x:font>
      <x:b/>
      <x:sz val="13"/>
      <x:color rgb="FF203047"/>
      <x:name val="Aptos"/>
    </x:font>
    <x:font>
      <x:sz val="10"/>
      <x:color rgb="FF60758A"/>
      <x:name val="Aptos"/>
    </x:font>
    <x:font>
      <x:b/>
      <x:sz val="21"/>
      <x:color rgb="FF0A182A"/>
      <x:name val="Aptos"/>
    </x:font>
    <x:font>
      <x:b/>
      <x:sz val="21"/>
      <x:color rgb="FFD65353"/>
      <x:name val="Aptos"/>
    </x:font>
    <x:font>
      <x:b/>
      <x:sz val="21"/>
      <x:color rgb="FF007E87"/>
      <x:name val="Aptos"/>
    </x:font>
    <x:font>
      <x:sz val="9"/>
      <x:color rgb="FF60758A"/>
      <x:name val="Aptos"/>
    </x:font>
    <x:font>
      <x:b/>
      <x:sz val="9"/>
      <x:color rgb="FF14283E"/>
      <x:name val="Aptos"/>
    </x:font>
    <x:font>
      <x:sz val="10"/>
      <x:color rgb="FF203047"/>
      <x:name val="Carlito"/>
    </x:font>
    <x:font>
      <x:sz val="12"/>
      <x:color rgb="FF203047"/>
      <x:name val="Aptos"/>
    </x:font>
    <x:font>
      <x:sz val="9"/>
      <x:color rgb="FF007E87"/>
      <x:name val="Aptos"/>
    </x:font>
    <x:font>
      <x:b/>
      <x:sz val="9"/>
      <x:color rgb="FFFFFFFF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1243B"/>
      </x:patternFill>
    </x:fill>
    <x:fill>
      <x:patternFill patternType="solid">
        <x:fgColor rgb="FFF0F4F8"/>
      </x:patternFill>
    </x:fill>
    <x:fill>
      <x:patternFill patternType="solid">
        <x:fgColor rgb="FFD7F3EC"/>
      </x:patternFill>
    </x:fill>
    <x:fill>
      <x:patternFill patternType="solid">
        <x:fgColor rgb="FFEAF8F5"/>
      </x:patternFill>
    </x:fill>
    <x:fill>
      <x:patternFill patternType="solid">
        <x:fgColor rgb="FFF1F5F9"/>
      </x:patternFill>
    </x:fill>
    <x:fill>
      <x:patternFill patternType="solid">
        <x:fgColor rgb="FF0A182A"/>
      </x:patternFill>
    </x:fill>
    <x:fill>
      <x:patternFill patternType="solid">
        <x:fgColor rgb="FF14283E"/>
      </x:patternFill>
    </x:fill>
    <x:fill>
      <x:patternFill patternType="solid">
        <x:fgColor rgb="FF007E87"/>
      </x:patternFill>
    </x:fill>
    <x:fill>
      <x:patternFill patternType="solid">
        <x:fgColor rgb="FFFFFFFF"/>
      </x:patternFill>
    </x:fill>
    <x:fill>
      <x:patternFill patternType="solid">
        <x:fgColor rgb="FFE7F4F3"/>
      </x:patternFill>
    </x:fill>
  </x:fills>
  <x:borders count="2">
    <x:border/>
    <x:border/>
  </x:borders>
  <x:cellStyleXfs count="1">
    <x:xf numFmtId="0" fontId="0" fillId="0" borderId="0"/>
  </x:cellStyleXfs>
  <x:cellXfs count="1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203" fontId="6" fillId="5" borderId="0" xfId="0" applyNumberFormat="1" applyFont="1" applyFill="1" applyBorder="1" applyAlignment="1">
      <x:alignment vertical="center"/>
    </x:xf>
    <x:xf numFmtId="203" fontId="6" fillId="5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0" fontId="6" fillId="5" borderId="1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1" fontId="7" fillId="5" borderId="0" xfId="0" applyNumberFormat="1" applyFont="1" applyFill="1" applyBorder="1"/>
    <x:xf numFmtId="202" fontId="7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201" fontId="7" fillId="5" borderId="1" xfId="0" applyNumberFormat="1" applyFont="1" applyFill="1" applyBorder="1"/>
    <x:xf numFmtId="202" fontId="7" fillId="5" borderId="1" xfId="0" applyNumberFormat="1" applyFont="1" applyFill="1" applyBorder="1"/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5" fillId="6" borderId="0" xfId="0" applyNumberFormat="1" applyFont="1" applyFill="1" applyBorder="1"/>
    <x:xf numFmtId="203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 wrapText="0"/>
    </x:xf>
    <x:xf numFmtId="0" fontId="8" fillId="7" borderId="0" xfId="0" applyNumberFormat="1" applyFont="1" applyFill="1" applyBorder="1" applyAlignment="1">
      <x:alignment wrapText="0"/>
    </x:xf>
    <x:xf numFmtId="0" fontId="8" fillId="7" borderId="0" xfId="0" applyNumberFormat="1" applyFont="1" applyFill="1" applyBorder="1" applyAlignment="1">
      <x:alignment horizontal="left" vertical="center" wrapText="0"/>
    </x:xf>
    <x:xf numFmtId="0" fontId="8" fillId="7" borderId="0" xfId="0" applyNumberFormat="1" applyFont="1" applyFill="1" applyBorder="1" applyAlignment="1">
      <x:alignment horizontal="left" wrapText="0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0"/>
    </x:xf>
    <x:xf numFmtId="0" fontId="9" fillId="8" borderId="0" xfId="0" applyNumberFormat="1" applyFont="1" applyFill="1" applyBorder="1" applyAlignment="1">
      <x:alignment horizontal="left" wrapText="0"/>
    </x:xf>
    <x:xf numFmtId="0" fontId="9" fillId="8" borderId="0" xfId="0" applyNumberFormat="1" applyFont="1" applyFill="1" applyBorder="1" applyAlignment="1">
      <x:alignment horizontal="left" vertical="center" wrapText="0"/>
    </x:xf>
    <x:xf numFmtId="0" fontId="9" fillId="8" borderId="0" xfId="0" applyNumberFormat="1" applyFont="1" applyFill="1" applyBorder="1" applyAlignment="1">
      <x:alignment horizontal="right" wrapText="0"/>
    </x:xf>
    <x:xf numFmtId="0" fontId="9" fillId="8" borderId="0" xfId="0" applyNumberFormat="1" applyFont="1" applyFill="1" applyBorder="1" applyAlignment="1">
      <x:alignment horizontal="right" vertical="center" wrapText="0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0"/>
    </x:xf>
    <x:xf numFmtId="0" fontId="10" fillId="9" borderId="0" xfId="0" applyNumberFormat="1" applyFont="1" applyFill="1" applyBorder="1" applyAlignment="1">
      <x:alignment horizontal="left" wrapText="0"/>
    </x:xf>
    <x:xf numFmtId="0" fontId="10" fillId="9" borderId="0" xfId="0" applyNumberFormat="1" applyFont="1" applyFill="1" applyBorder="1" applyAlignment="1">
      <x:alignment horizontal="left" vertical="center" wrapText="0"/>
    </x:xf>
    <x:xf numFmtId="203" fontId="6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3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/>
    <x:xf numFmtId="203" fontId="10" fillId="8" borderId="0" xfId="0" applyNumberFormat="1" applyFont="1" applyFill="1" applyBorder="1" applyAlignment="1">
      <x:alignment vertical="center" wrapText="0"/>
    </x:xf>
    <x:xf numFmtId="0" fontId="10" fillId="8" borderId="0" xfId="0" applyNumberFormat="1" applyFont="1" applyFill="1" applyBorder="1" applyAlignment="1">
      <x:alignment vertical="center" wrapText="0"/>
    </x:xf>
    <x:xf numFmtId="0" fontId="10" fillId="8" borderId="0" xfId="0" applyNumberFormat="1" applyFont="1" applyFill="1" applyBorder="1" applyAlignment="1">
      <x:alignment wrapText="0"/>
    </x:xf>
    <x:xf numFmtId="203" fontId="10" fillId="8" borderId="0" xfId="0" applyNumberFormat="1" applyFont="1" applyFill="1" applyBorder="1" applyAlignment="1">
      <x:alignment horizontal="left" vertical="center" wrapText="0"/>
    </x:xf>
    <x:xf numFmtId="0" fontId="10" fillId="8" borderId="0" xfId="0" applyNumberFormat="1" applyFont="1" applyFill="1" applyBorder="1" applyAlignment="1">
      <x:alignment horizontal="left" vertical="center" wrapText="0"/>
    </x:xf>
    <x:xf numFmtId="0" fontId="10" fillId="8" borderId="0" xfId="0" applyNumberFormat="1" applyFont="1" applyFill="1" applyBorder="1" applyAlignment="1">
      <x:alignment horizontal="left" wrapText="0"/>
    </x:xf>
    <x:xf numFmtId="200" fontId="6" fillId="8" borderId="0" xfId="0" applyNumberFormat="1" applyFont="1" applyFill="1" applyBorder="1" applyAlignment="1">
      <x:alignment vertical="center"/>
    </x:xf>
    <x:xf numFmtId="200" fontId="10" fillId="8" borderId="0" xfId="0" applyNumberFormat="1" applyFont="1" applyFill="1" applyBorder="1" applyAlignment="1">
      <x:alignment vertical="center"/>
    </x:xf>
    <x:xf numFmtId="200" fontId="10" fillId="8" borderId="0" xfId="0" applyNumberFormat="1" applyFont="1" applyFill="1" applyBorder="1" applyAlignment="1">
      <x:alignment vertical="center" wrapText="0"/>
    </x:xf>
    <x:xf numFmtId="200" fontId="10" fillId="8" borderId="0" xfId="0" applyNumberFormat="1" applyFont="1" applyFill="1" applyBorder="1" applyAlignment="1">
      <x:alignment horizontal="left" vertical="center" wrapText="0"/>
    </x:xf>
    <x:xf numFmtId="0" fontId="6" fillId="1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vertical="center" wrapText="0"/>
    </x:xf>
    <x:xf numFmtId="0" fontId="11" fillId="10" borderId="0" xfId="0" applyNumberFormat="1" applyFont="1" applyFill="1" applyBorder="1" applyAlignment="1">
      <x:alignment wrapText="0"/>
    </x:xf>
    <x:xf numFmtId="0" fontId="11" fillId="10" borderId="0" xfId="0" applyNumberFormat="1" applyFont="1" applyFill="1" applyBorder="1" applyAlignment="1">
      <x:alignment horizontal="left" vertical="center" wrapText="0"/>
    </x:xf>
    <x:xf numFmtId="0" fontId="11" fillId="10" borderId="0" xfId="0" applyNumberFormat="1" applyFont="1" applyFill="1" applyBorder="1" applyAlignment="1">
      <x:alignment horizontal="left" wrapText="0"/>
    </x:xf>
    <x:xf numFmtId="0" fontId="6" fillId="11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vertical="center" wrapText="0"/>
    </x:xf>
    <x:xf numFmtId="0" fontId="12" fillId="11" borderId="0" xfId="0" applyNumberFormat="1" applyFont="1" applyFill="1" applyBorder="1" applyAlignment="1">
      <x:alignment wrapText="0"/>
    </x:xf>
    <x:xf numFmtId="0" fontId="12" fillId="11" borderId="0" xfId="0" applyNumberFormat="1" applyFont="1" applyFill="1" applyBorder="1" applyAlignment="1">
      <x:alignment horizontal="left" vertical="center" wrapText="0"/>
    </x:xf>
    <x:xf numFmtId="0" fontId="12" fillId="11" borderId="0" xfId="0" applyNumberFormat="1" applyFont="1" applyFill="1" applyBorder="1" applyAlignment="1">
      <x:alignment horizontal="left" wrapText="0"/>
    </x:xf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0"/>
    </x:xf>
    <x:xf numFmtId="0" fontId="13" fillId="6" borderId="0" xfId="0" applyNumberFormat="1" applyFont="1" applyFill="1" applyBorder="1" applyAlignment="1">
      <x:alignment horizontal="left" wrapText="0"/>
    </x:xf>
    <x:xf numFmtId="0" fontId="13" fillId="6" borderId="0" xfId="0" applyNumberFormat="1" applyFont="1" applyFill="1" applyBorder="1" applyAlignment="1">
      <x:alignment horizontal="left" vertical="center" wrapText="0"/>
    </x:xf>
    <x:xf numFmtId="0" fontId="3" fillId="8" borderId="0" xfId="0" applyNumberFormat="1" applyFont="1" applyFill="1" applyBorder="1" applyAlignment="1">
      <x:alignment vertical="center"/>
    </x:xf>
    <x:xf numFmtId="201" fontId="0" fillId="10" borderId="0" xfId="0" applyNumberFormat="1" applyFont="1" applyFill="1" applyBorder="1"/>
    <x:xf numFmtId="0" fontId="14" fillId="10" borderId="0" xfId="0" applyNumberFormat="1" applyFont="1" applyFill="1" applyBorder="1"/>
    <x:xf numFmtId="201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0"/>
    </x:xf>
    <x:xf numFmtId="201" fontId="14" fillId="10" borderId="0" xfId="0" applyNumberFormat="1" applyFont="1" applyFill="1" applyBorder="1" applyAlignment="1">
      <x:alignment wrapText="0"/>
    </x:xf>
    <x:xf numFmtId="0" fontId="14" fillId="10" borderId="0" xfId="0" applyNumberFormat="1" applyFont="1" applyFill="1" applyBorder="1" applyAlignment="1">
      <x:alignment horizontal="center" wrapText="0"/>
    </x:xf>
    <x:xf numFmtId="201" fontId="14" fillId="10" borderId="0" xfId="0" applyNumberFormat="1" applyFont="1" applyFill="1" applyBorder="1" applyAlignment="1">
      <x:alignment horizontal="center" wrapText="0"/>
    </x:xf>
    <x:xf numFmtId="0" fontId="14" fillId="10" borderId="0" xfId="0" applyNumberFormat="1" applyFont="1" applyFill="1" applyBorder="1" applyAlignment="1">
      <x:alignment horizontal="center" vertical="center" wrapText="0"/>
    </x:xf>
    <x:xf numFmtId="201" fontId="14" fillId="10" borderId="0" xfId="0" applyNumberFormat="1" applyFont="1" applyFill="1" applyBorder="1" applyAlignment="1">
      <x:alignment horizontal="center" vertical="center" wrapText="0"/>
    </x:xf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0"/>
    </x:xf>
    <x:xf numFmtId="0" fontId="15" fillId="10" borderId="0" xfId="0" applyNumberFormat="1" applyFont="1" applyFill="1" applyBorder="1" applyAlignment="1">
      <x:alignment horizontal="center" wrapText="0"/>
    </x:xf>
    <x:xf numFmtId="0" fontId="15" fillId="10" borderId="0" xfId="0" applyNumberFormat="1" applyFont="1" applyFill="1" applyBorder="1" applyAlignment="1">
      <x:alignment horizontal="center" vertical="center" wrapText="0"/>
    </x:xf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0"/>
    </x:xf>
    <x:xf numFmtId="0" fontId="16" fillId="10" borderId="0" xfId="0" applyNumberFormat="1" applyFont="1" applyFill="1" applyBorder="1" applyAlignment="1">
      <x:alignment horizontal="center" wrapText="0"/>
    </x:xf>
    <x:xf numFmtId="0" fontId="16" fillId="10" borderId="0" xfId="0" applyNumberFormat="1" applyFont="1" applyFill="1" applyBorder="1" applyAlignment="1">
      <x:alignment horizontal="center" vertical="center" wrapText="0"/>
    </x:xf>
    <x:xf numFmtId="204" fontId="14" fillId="10" borderId="0" xfId="0" applyNumberFormat="1" applyFont="1" applyFill="1" applyBorder="1" applyAlignment="1">
      <x:alignment horizontal="center" vertical="center" wrapText="0"/>
    </x:xf>
    <x:xf numFmtId="204" fontId="15" fillId="10" borderId="0" xfId="0" applyNumberFormat="1" applyFont="1" applyFill="1" applyBorder="1" applyAlignment="1">
      <x:alignment horizontal="center" vertical="center" wrapText="0"/>
    </x:xf>
    <x:xf numFmtId="200" fontId="16" fillId="10" borderId="0" xfId="0" applyNumberFormat="1" applyFont="1" applyFill="1" applyBorder="1" applyAlignment="1">
      <x:alignment horizontal="center" vertical="center" wrapText="0"/>
    </x:xf>
    <x:xf numFmtId="0" fontId="17" fillId="6" borderId="0" xfId="0" applyNumberFormat="1" applyFont="1" applyFill="1" applyBorder="1"/>
    <x:xf numFmtId="201" fontId="17" fillId="6" borderId="0" xfId="0" applyNumberFormat="1" applyFont="1" applyFill="1" applyBorder="1"/>
    <x:xf numFmtId="0" fontId="17" fillId="6" borderId="0" xfId="0" applyNumberFormat="1" applyFont="1" applyFill="1" applyBorder="1" applyAlignment="1">
      <x:alignment wrapText="0"/>
    </x:xf>
    <x:xf numFmtId="201" fontId="17" fillId="6" borderId="0" xfId="0" applyNumberFormat="1" applyFont="1" applyFill="1" applyBorder="1" applyAlignment="1">
      <x:alignment wrapText="0"/>
    </x:xf>
    <x:xf numFmtId="0" fontId="17" fillId="6" borderId="0" xfId="0" applyNumberFormat="1" applyFont="1" applyFill="1" applyBorder="1" applyAlignment="1">
      <x:alignment horizontal="center" wrapText="0"/>
    </x:xf>
    <x:xf numFmtId="201" fontId="17" fillId="6" borderId="0" xfId="0" applyNumberFormat="1" applyFont="1" applyFill="1" applyBorder="1" applyAlignment="1">
      <x:alignment horizontal="center" wrapText="0"/>
    </x:xf>
    <x:xf numFmtId="0" fontId="17" fillId="6" borderId="0" xfId="0" applyNumberFormat="1" applyFont="1" applyFill="1" applyBorder="1" applyAlignment="1">
      <x:alignment horizontal="center" vertical="center" wrapText="0"/>
    </x:xf>
    <x:xf numFmtId="201" fontId="17" fillId="6" borderId="0" xfId="0" applyNumberFormat="1" applyFont="1" applyFill="1" applyBorder="1" applyAlignment="1">
      <x:alignment horizontal="center" vertical="center" wrapText="0"/>
    </x:xf>
    <x:xf numFmtId="201" fontId="0" fillId="8" borderId="0" xfId="0" applyNumberFormat="1" applyFont="1" applyFill="1" applyBorder="1"/>
    <x:xf numFmtId="201" fontId="10" fillId="8" borderId="0" xfId="0" applyNumberFormat="1" applyFont="1" applyFill="1" applyBorder="1"/>
    <x:xf numFmtId="201" fontId="10" fillId="8" borderId="0" xfId="0" applyNumberFormat="1" applyFont="1" applyFill="1" applyBorder="1" applyAlignment="1">
      <x:alignment wrapText="0"/>
    </x:xf>
    <x:xf numFmtId="201" fontId="10" fillId="8" borderId="0" xfId="0" applyNumberFormat="1" applyFont="1" applyFill="1" applyBorder="1" applyAlignment="1">
      <x:alignment horizontal="left" wrapText="0"/>
    </x:xf>
    <x:xf numFmtId="201" fontId="10" fillId="8" borderId="0" xfId="0" applyNumberFormat="1" applyFont="1" applyFill="1" applyBorder="1" applyAlignment="1">
      <x:alignment horizontal="left" vertical="center" wrapText="0"/>
    </x:xf>
    <x:xf numFmtId="0" fontId="7" fillId="10" borderId="0" xfId="0" applyNumberFormat="1" applyFont="1" applyFill="1" applyBorder="1"/>
    <x:xf numFmtId="0" fontId="18" fillId="11" borderId="0" xfId="0" applyNumberFormat="1" applyFont="1" applyFill="1" applyBorder="1"/>
    <x:xf numFmtId="0" fontId="18" fillId="11" borderId="0" xfId="0" applyNumberFormat="1" applyFont="1" applyFill="1" applyBorder="1" applyAlignment="1">
      <x:alignment wrapText="0"/>
    </x:xf>
    <x:xf numFmtId="0" fontId="18" fillId="11" borderId="0" xfId="0" applyNumberFormat="1" applyFont="1" applyFill="1" applyBorder="1" applyAlignment="1">
      <x:alignment horizontal="left" wrapText="0"/>
    </x:xf>
    <x:xf numFmtId="0" fontId="18" fillId="11" borderId="0" xfId="0" applyNumberFormat="1" applyFont="1" applyFill="1" applyBorder="1" applyAlignment="1">
      <x:alignment horizontal="left" vertical="center" wrapText="0"/>
    </x:xf>
    <x:xf numFmtId="0" fontId="19" fillId="6" borderId="0" xfId="0" applyNumberFormat="1" applyFont="1" applyFill="1" applyBorder="1"/>
    <x:xf numFmtId="201" fontId="19" fillId="6" borderId="0" xfId="0" applyNumberFormat="1" applyFont="1" applyFill="1" applyBorder="1"/>
    <x:xf numFmtId="0" fontId="19" fillId="6" borderId="0" xfId="0" applyNumberFormat="1" applyFont="1" applyFill="1" applyBorder="1" applyAlignment="1">
      <x:alignment vertical="center"/>
    </x:xf>
    <x:xf numFmtId="201" fontId="19" fillId="6" borderId="0" xfId="0" applyNumberFormat="1" applyFont="1" applyFill="1" applyBorder="1" applyAlignment="1">
      <x:alignment vertical="center"/>
    </x:xf>
    <x:xf numFmtId="0" fontId="19" fillId="10" borderId="0" xfId="0" applyNumberFormat="1" applyFont="1" applyFill="1" applyBorder="1"/>
    <x:xf numFmtId="201" fontId="19" fillId="10" borderId="0" xfId="0" applyNumberFormat="1" applyFont="1" applyFill="1" applyBorder="1"/>
    <x:xf numFmtId="0" fontId="19" fillId="10" borderId="0" xfId="0" applyNumberFormat="1" applyFont="1" applyFill="1" applyBorder="1" applyAlignment="1">
      <x:alignment vertical="center"/>
    </x:xf>
    <x:xf numFmtId="201" fontId="19" fillId="10" borderId="0" xfId="0" applyNumberFormat="1" applyFont="1" applyFill="1" applyBorder="1" applyAlignment="1">
      <x:alignment vertical="center"/>
    </x:xf>
    <x:xf numFmtId="0" fontId="20" fillId="10" borderId="0" xfId="0" applyNumberFormat="1" applyFont="1" applyFill="1" applyBorder="1"/>
    <x:xf numFmtId="0" fontId="20" fillId="10" borderId="0" xfId="0" applyNumberFormat="1" applyFont="1" applyFill="1" applyBorder="1" applyAlignment="1">
      <x:alignment wrapText="1"/>
    </x:xf>
    <x:xf numFmtId="0" fontId="20" fillId="10" borderId="0" xfId="0" applyNumberFormat="1" applyFont="1" applyFill="1" applyBorder="1" applyAlignment="1">
      <x:alignment horizontal="left" wrapText="1"/>
    </x:xf>
    <x:xf numFmtId="0" fontId="20" fillId="10" borderId="0" xfId="0" applyNumberFormat="1" applyFont="1" applyFill="1" applyBorder="1" applyAlignment="1">
      <x:alignment horizontal="left" vertical="center" wrapText="1"/>
    </x:xf>
    <x:xf numFmtId="0" fontId="21" fillId="11" borderId="0" xfId="0" applyNumberFormat="1" applyFont="1" applyFill="1" applyBorder="1"/>
    <x:xf numFmtId="0" fontId="21" fillId="11" borderId="0" xfId="0" applyNumberFormat="1" applyFont="1" applyFill="1" applyBorder="1" applyAlignment="1">
      <x:alignment wrapText="0"/>
    </x:xf>
    <x:xf numFmtId="0" fontId="21" fillId="11" borderId="0" xfId="0" applyNumberFormat="1" applyFont="1" applyFill="1" applyBorder="1" applyAlignment="1">
      <x:alignment horizontal="left" wrapText="0"/>
    </x:xf>
    <x:xf numFmtId="0" fontId="21" fillId="11" borderId="0" xfId="0" applyNumberFormat="1" applyFont="1" applyFill="1" applyBorder="1" applyAlignment="1">
      <x:alignment horizontal="left" vertical="center" wrapText="0"/>
    </x:xf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wrapText="0"/>
    </x:xf>
    <x:xf numFmtId="0" fontId="22" fillId="7" borderId="0" xfId="0" applyNumberFormat="1" applyFont="1" applyFill="1" applyBorder="1" applyAlignment="1">
      <x:alignment horizontal="left" wrapText="0"/>
    </x:xf>
    <x:xf numFmtId="0" fontId="22" fillId="7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92dbcd28a4b68" /><Relationship Type="http://schemas.openxmlformats.org/officeDocument/2006/relationships/theme" Target="/xl/theme/theme1.xml" Id="R82f98e8e07e34255" /><Relationship Type="http://schemas.openxmlformats.org/officeDocument/2006/relationships/sharedStrings" Target="/xl/sharedStrings.xml" Id="Rfe2e1fc1d35a4c40" /><Relationship Type="http://schemas.openxmlformats.org/officeDocument/2006/relationships/worksheet" Target="/xl/worksheets/sheet1.xml" Id="R2fb551a08f4c4965" /><Relationship Type="http://schemas.openxmlformats.org/officeDocument/2006/relationships/worksheet" Target="/xl/worksheets/sheet2.xml" Id="R08b1e8a6205d4925" /><Relationship Type="http://schemas.openxmlformats.org/officeDocument/2006/relationships/worksheet" Target="/xl/worksheets/sheet3.xml" Id="R916acfb18fdf4961" /><Relationship Type="http://schemas.openxmlformats.org/officeDocument/2006/relationships/worksheet" Target="/xl/worksheets/sheet4.xml" Id="Rec01b4d993ea4a3a" /><Relationship Type="http://schemas.openxmlformats.org/officeDocument/2006/relationships/worksheet" Target="/xl/worksheets/sheet5.xml" Id="R86aa4ff2137748d5" /><Relationship Type="http://schemas.openxmlformats.org/officeDocument/2006/relationships/worksheet" Target="/xl/worksheets/sheet6.xml" Id="Rfc1361acd01a474a" /><Relationship Type="http://schemas.openxmlformats.org/officeDocument/2006/relationships/worksheet" Target="/xl/worksheets/sheet7.xml" Id="Rb5ebd34aabb34a59" /><Relationship Type="http://schemas.openxmlformats.org/officeDocument/2006/relationships/worksheet" Target="/xl/worksheets/sheet8.xml" Id="Rddc1970312f541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2b5429af2f4451" /><Relationship Type="http://schemas.openxmlformats.org/officeDocument/2006/relationships/chart" Target="/xl/drawings/charts/chart2.xml" Id="Rbeacd6d054494dd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f4509370ed746a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b118c44bb32424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Budget</c:v>
          </c:tx>
          <c:marker>
            <c:symbol val="none"/>
          </c:marker>
          <c:cat>
            <c:strRef>
              <c:f>'DATA_VISU'!$A$2:$A$13</c:f>
              <c:strCache>
                <c:ptCount val="0"/>
              </c:strCache>
            </c:strRef>
          </c:cat>
          <c:val>
            <c:numRef>
              <c:f>'DATA_VISU'!$B$2:$B$13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Réalisé</c:v>
          </c:tx>
          <c:marker>
            <c:symbol val="none"/>
          </c:marker>
          <c:cat>
            <c:strRef>
              <c:f>'DATA_VISU'!$A$2:$A$13</c:f>
              <c:strCache>
                <c:ptCount val="0"/>
              </c:strCache>
            </c:strRef>
          </c:cat>
          <c:val>
            <c:numRef>
              <c:f>'DATA_VISU'!$C$2:$C$13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Écart</c:v>
          </c:tx>
          <c:cat>
            <c:strRef>
              <c:f>'DATA_VISU'!$H$2:$H$7</c:f>
              <c:strCache>
                <c:ptCount val="0"/>
              </c:strCache>
            </c:strRef>
          </c:cat>
          <c:val>
            <c:numRef>
              <c:f>'DATA_VISU'!$G$2:$G$7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Réalisé (MAD)</c:v>
          </c:tx>
          <c:cat>
            <c:strRef>
              <c:f>'ANALYSE_CENTRES'!$A$7:$A$12</c:f>
              <c:strCache>
                <c:ptCount val="0"/>
              </c:strCache>
            </c:strRef>
          </c:cat>
          <c:val>
            <c:numRef>
              <c:f>'ANALYSE_CENTRES'!$C$7:$C$12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Réalisé (MAD)</c:v>
          </c:tx>
          <c:cat>
            <c:strRef>
              <c:f>'ANALYSE_POSTES'!$A$7:$A$11</c:f>
              <c:strCache>
                <c:ptCount val="0"/>
              </c:strCache>
            </c:strRef>
          </c:cat>
          <c:val>
            <c:numRef>
              <c:f>'ANALYSE_POSTES'!$C$7:$C$11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21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2b5429af2f445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acd6d054494dd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4509370ed746a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118c44bb3242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BudgetRealise" displayName="tblBudgetRealise" ref="A5:J365" headerRowCount="1" totalsRowCount="0" totalsRowShown="0">
  <x:tableColumns count="10">
    <x:tableColumn id="1" name="Année"/>
    <x:tableColumn id="2" name="Mois N°"/>
    <x:tableColumn id="3" name="Mois"/>
    <x:tableColumn id="4" name="Centre de coûts"/>
    <x:tableColumn id="5" name="Poste de charges"/>
    <x:tableColumn id="6" name="Budget (MAD)"/>
    <x:tableColumn id="7" name="Réalisé (MAD)"/>
    <x:tableColumn id="8" name="Écart (MAD)"/>
    <x:tableColumn id="9" name="Écart %"/>
    <x:tableColumn id="10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e4ce9d32cf4c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2f5b652635f43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fbfb30a3dd44a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502c5b752dc44de8" /></Relationships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3" hidden="0" customWidth="1"/>
  </x:cols>
  <x:sheetData>
    <x:row r="1" ht="21" customHeight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4"/>
      <x:c r="Q1" s="54"/>
      <x:c r="R1" s="54"/>
    </x:row>
    <x:row r="2" ht="25" customHeight="1">
      <x:c r="A2" s="53"/>
      <x:c r="B2" s="70" t="str">
        <x:v>PILOTAGE BUDGÉTAIRE  |  BUDGET VS RÉALISÉ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54"/>
    </x:row>
    <x:row r="3" ht="25" customHeight="1">
      <x:c r="A3" s="55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  <x:c r="R3" s="54"/>
    </x:row>
    <x:row r="4" ht="25" customHeight="1">
      <x:c r="A4" s="54"/>
      <x:c r="B4" s="70"/>
      <x:c r="C4" s="70"/>
      <x:c r="D4" s="70"/>
      <x:c r="E4" s="70"/>
      <x:c r="F4" s="70"/>
      <x:c r="G4" s="70"/>
      <x:c r="H4" s="70"/>
      <x:c r="I4" s="70"/>
      <x:c r="J4" s="70"/>
      <x:c r="K4" s="70"/>
      <x:c r="L4" s="70"/>
      <x:c r="M4" s="70"/>
      <x:c r="N4" s="70"/>
      <x:c r="O4" s="70"/>
      <x:c r="P4" s="70"/>
      <x:c r="Q4" s="70"/>
      <x:c r="R4" s="54"/>
    </x:row>
    <x:row r="5" ht="21" customHeight="1">
      <x:c r="A5" s="54"/>
      <x:c r="B5" s="76" t="str">
        <x:v>ATLAS SERVICES INDUSTRIELS  ·  SIMULATION 2026</x:v>
      </x:c>
      <x:c r="C5" s="76"/>
      <x:c r="D5" s="76"/>
      <x:c r="E5" s="76"/>
      <x:c r="F5" s="76"/>
      <x:c r="G5" s="76"/>
      <x:c r="H5" s="76"/>
      <x:c r="I5" s="76"/>
      <x:c r="J5" s="78" t="str">
        <x:v>KHADIJA MACHGHOUL    /    ÉTUDE 03</x:v>
      </x:c>
      <x:c r="K5" s="78"/>
      <x:c r="L5" s="78"/>
      <x:c r="M5" s="78"/>
      <x:c r="N5" s="78"/>
      <x:c r="O5" s="78"/>
      <x:c r="P5" s="78"/>
      <x:c r="Q5" s="78"/>
      <x:c r="R5" s="54"/>
    </x:row>
    <x:row r="6" ht="21" customHeight="1">
      <x:c r="A6" s="54"/>
      <x:c r="B6" s="56"/>
      <x:c r="C6" s="54"/>
      <x:c r="D6" s="54"/>
      <x:c r="E6" s="54"/>
      <x:c r="F6" s="54"/>
      <x:c r="G6" s="56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</x:row>
    <x:row r="7" ht="26" customHeight="1">
      <x:c r="A7" s="54"/>
      <x:c r="B7" s="83" t="str">
        <x:v>01   PARAMÈTRES DU REPORTING</x:v>
      </x:c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54"/>
    </x:row>
    <x:row r="8" ht="21" customHeight="1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</x:row>
    <x:row r="9" ht="21" customHeight="1">
      <x:c r="A9" s="54"/>
      <x:c r="B9" s="92" t="str">
        <x:v>CENTRE DE COÛTS</x:v>
      </x:c>
      <x:c r="C9" s="93"/>
      <x:c r="D9" s="93"/>
      <x:c r="E9" s="93"/>
      <x:c r="F9" s="92" t="str">
        <x:v>MOIS DE CLÔTURE</x:v>
      </x:c>
      <x:c r="G9" s="93"/>
      <x:c r="H9" s="93"/>
      <x:c r="I9" s="93"/>
      <x:c r="J9" s="92" t="str">
        <x:v>STATUT BUDGÉTAIRE</x:v>
      </x:c>
      <x:c r="K9" s="93"/>
      <x:c r="L9" s="93"/>
      <x:c r="M9" s="93"/>
      <x:c r="N9" s="98"/>
      <x:c r="O9" s="93"/>
      <x:c r="P9" s="93"/>
      <x:c r="Q9" s="93"/>
      <x:c r="R9" s="54"/>
    </x:row>
    <x:row r="10" ht="24" customHeight="1">
      <x:c r="A10" s="54"/>
      <x:c r="B10" s="105" t="str">
        <x:v>Tous les centres</x:v>
      </x:c>
      <x:c r="C10" s="105"/>
      <x:c r="D10" s="105"/>
      <x:c r="E10" s="105"/>
      <x:c r="F10" s="105" t="n">
        <x:v>12</x:v>
      </x:c>
      <x:c r="G10" s="105"/>
      <x:c r="H10" s="105"/>
      <x:c r="I10" s="105"/>
      <x:c r="J10" s="113" t="str">
        <x:f>IF(J15&gt;0,"●  DÉPASSEMENT À EXAMINER",IF(J15&lt;0,"●  ÉCONOMIE BUDGÉTAIRE","●  BUDGET RESPECTÉ"))</x:f>
        <x:v>●  DÉPASSEMENT À EXAMINER</x:v>
      </x:c>
      <x:c r="K10" s="113"/>
      <x:c r="L10" s="113"/>
      <x:c r="M10" s="113"/>
      <x:c r="N10" s="113"/>
      <x:c r="O10" s="113"/>
      <x:c r="P10" s="113"/>
      <x:c r="Q10" s="113"/>
      <x:c r="R10" s="54"/>
    </x:row>
    <x:row r="11" ht="24" customHeight="1">
      <x:c r="A11" s="54"/>
      <x:c r="B11" s="105"/>
      <x:c r="C11" s="105"/>
      <x:c r="D11" s="105"/>
      <x:c r="E11" s="105"/>
      <x:c r="F11" s="105"/>
      <x:c r="G11" s="105"/>
      <x:c r="H11" s="105"/>
      <x:c r="I11" s="105"/>
      <x:c r="J11" s="113"/>
      <x:c r="K11" s="113"/>
      <x:c r="L11" s="113"/>
      <x:c r="M11" s="113"/>
      <x:c r="N11" s="113"/>
      <x:c r="O11" s="113"/>
      <x:c r="P11" s="113"/>
      <x:c r="Q11" s="113"/>
      <x:c r="R11" s="54"/>
    </x:row>
    <x:row r="12" ht="21" customHeight="1">
      <x:c r="A12" s="54"/>
      <x:c r="B12" s="118" t="str">
        <x:v>Sélectionner un centre et un mois (1–12) : toutes les vues sont recalculées.</x:v>
      </x:c>
      <x:c r="C12" s="118"/>
      <x:c r="D12" s="118"/>
      <x:c r="E12" s="118"/>
      <x:c r="F12" s="118"/>
      <x:c r="G12" s="118"/>
      <x:c r="H12" s="118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54"/>
    </x:row>
    <x:row r="13" ht="21" customHeight="1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</x:row>
    <x:row r="14" ht="26" customHeight="1">
      <x:c r="A14" s="54"/>
      <x:c r="B14" s="93" t="str">
        <x:v>BUDGET CUMULÉ</x:v>
      </x:c>
      <x:c r="C14" s="93"/>
      <x:c r="D14" s="93"/>
      <x:c r="E14" s="93"/>
      <x:c r="F14" s="93" t="str">
        <x:v>RÉALISÉ CUMULÉ</x:v>
      </x:c>
      <x:c r="G14" s="93"/>
      <x:c r="H14" s="93"/>
      <x:c r="I14" s="93"/>
      <x:c r="J14" s="93" t="str">
        <x:v>ÉCART DE CHARGES</x:v>
      </x:c>
      <x:c r="K14" s="93"/>
      <x:c r="L14" s="93"/>
      <x:c r="M14" s="93"/>
      <x:c r="N14" s="93" t="str">
        <x:v>TAUX DE CONSOMMATION</x:v>
      </x:c>
      <x:c r="O14" s="93"/>
      <x:c r="P14" s="93"/>
      <x:c r="Q14" s="93"/>
      <x:c r="R14" s="54"/>
    </x:row>
    <x:row r="15" ht="24" customHeight="1">
      <x:c r="A15" s="54"/>
      <x:c r="B15" s="137" t="n">
        <x:f>IF($B$10="Tous les centres",SUMIFS(DONNEES_2026!$F$6:$F$365,DONNEES_2026!$B$6:$B$365,"&lt;="&amp;$F$10),SUMIFS(DONNEES_2026!$F$6:$F$365,DONNEES_2026!$B$6:$B$365,"&lt;="&amp;$F$10,DONNEES_2026!$D$6:$D$365,$B$10))</x:f>
        <x:v>11344500</x:v>
      </x:c>
      <x:c r="C15" s="128"/>
      <x:c r="D15" s="128"/>
      <x:c r="E15" s="128"/>
      <x:c r="F15" s="137" t="n">
        <x:f>IF($B$10="Tous les centres",SUMIFS(DONNEES_2026!$G$6:$G$365,DONNEES_2026!$B$6:$B$365,"&lt;="&amp;$F$10),SUMIFS(DONNEES_2026!$G$6:$G$365,DONNEES_2026!$B$6:$B$365,"&lt;="&amp;$F$10,DONNEES_2026!$D$6:$D$365,$B$10))</x:f>
        <x:v>11546900</x:v>
      </x:c>
      <x:c r="G15" s="127"/>
      <x:c r="H15" s="127"/>
      <x:c r="I15" s="127"/>
      <x:c r="J15" s="138" t="n">
        <x:f>F15-B15</x:f>
        <x:v>202400</x:v>
      </x:c>
      <x:c r="K15" s="132"/>
      <x:c r="L15" s="132"/>
      <x:c r="M15" s="132"/>
      <x:c r="N15" s="139" t="n">
        <x:f>IFERROR(F15/B15,0)</x:f>
        <x:v>1.0178412446560008</x:v>
      </x:c>
      <x:c r="O15" s="136"/>
      <x:c r="P15" s="136"/>
      <x:c r="Q15" s="136"/>
      <x:c r="R15" s="54"/>
    </x:row>
    <x:row r="16" ht="24" customHeight="1">
      <x:c r="A16" s="54"/>
      <x:c r="B16" s="127"/>
      <x:c r="C16" s="128"/>
      <x:c r="D16" s="128"/>
      <x:c r="E16" s="128"/>
      <x:c r="F16" s="127"/>
      <x:c r="G16" s="127"/>
      <x:c r="H16" s="127"/>
      <x:c r="I16" s="127"/>
      <x:c r="J16" s="132"/>
      <x:c r="K16" s="132"/>
      <x:c r="L16" s="132"/>
      <x:c r="M16" s="132"/>
      <x:c r="N16" s="136"/>
      <x:c r="O16" s="136"/>
      <x:c r="P16" s="136"/>
      <x:c r="Q16" s="136"/>
      <x:c r="R16" s="54"/>
    </x:row>
    <x:row r="17" ht="24" customHeight="1">
      <x:c r="A17" s="54"/>
      <x:c r="B17" s="127"/>
      <x:c r="C17" s="128"/>
      <x:c r="D17" s="128"/>
      <x:c r="E17" s="128"/>
      <x:c r="F17" s="127"/>
      <x:c r="G17" s="127"/>
      <x:c r="H17" s="127"/>
      <x:c r="I17" s="127"/>
      <x:c r="J17" s="132"/>
      <x:c r="K17" s="132"/>
      <x:c r="L17" s="132"/>
      <x:c r="M17" s="132"/>
      <x:c r="N17" s="136"/>
      <x:c r="O17" s="136"/>
      <x:c r="P17" s="136"/>
      <x:c r="Q17" s="136"/>
      <x:c r="R17" s="54"/>
    </x:row>
    <x:row r="18" ht="24" customHeight="1">
      <x:c r="A18" s="54"/>
      <x:c r="B18" s="127"/>
      <x:c r="C18" s="128"/>
      <x:c r="D18" s="128"/>
      <x:c r="E18" s="128"/>
      <x:c r="F18" s="127"/>
      <x:c r="G18" s="127"/>
      <x:c r="H18" s="127"/>
      <x:c r="I18" s="127"/>
      <x:c r="J18" s="132"/>
      <x:c r="K18" s="132"/>
      <x:c r="L18" s="132"/>
      <x:c r="M18" s="132"/>
      <x:c r="N18" s="136"/>
      <x:c r="O18" s="136"/>
      <x:c r="P18" s="136"/>
      <x:c r="Q18" s="136"/>
      <x:c r="R18" s="54"/>
    </x:row>
    <x:row r="19" ht="21" customHeight="1">
      <x:c r="A19" s="54"/>
      <x:c r="B19" s="146" t="str">
        <x:v>Valeur des charges prévues</x:v>
      </x:c>
      <x:c r="C19" s="147"/>
      <x:c r="D19" s="147"/>
      <x:c r="E19" s="147"/>
      <x:c r="F19" s="146" t="str">
        <x:v>Valeur des charges constatées</x:v>
      </x:c>
      <x:c r="G19" s="146"/>
      <x:c r="H19" s="146"/>
      <x:c r="I19" s="146"/>
      <x:c r="J19" s="146" t="str">
        <x:v>Positif = dépassement</x:v>
      </x:c>
      <x:c r="K19" s="146"/>
      <x:c r="L19" s="146"/>
      <x:c r="M19" s="146"/>
      <x:c r="N19" s="146" t="str">
        <x:v>Réalisé / budget</x:v>
      </x:c>
      <x:c r="O19" s="146"/>
      <x:c r="P19" s="146"/>
      <x:c r="Q19" s="146"/>
      <x:c r="R19" s="54"/>
    </x:row>
    <x:row r="20" ht="21" customHeight="1">
      <x:c r="A20" s="54"/>
      <x:c r="B20" s="54"/>
      <x:c r="C20" s="61"/>
      <x:c r="D20" s="61"/>
      <x:c r="E20" s="61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</x:row>
    <x:row r="21" ht="27" customHeight="1">
      <x:c r="A21" s="54"/>
      <x:c r="B21" s="93" t="str">
        <x:v>02    TENDANCE MENSUELLE  |  BUDGET ET RÉALISÉ</x:v>
      </x:c>
      <x:c r="C21" s="152"/>
      <x:c r="D21" s="152"/>
      <x:c r="E21" s="152"/>
      <x:c r="F21" s="93"/>
      <x:c r="G21" s="93"/>
      <x:c r="H21" s="93"/>
      <x:c r="I21" s="93"/>
      <x:c r="J21" s="93" t="str">
        <x:v>03    CONTRIBUTION AUX ÉCARTS PAR CENTRE</x:v>
      </x:c>
      <x:c r="K21" s="93"/>
      <x:c r="L21" s="93"/>
      <x:c r="M21" s="93"/>
      <x:c r="N21" s="93"/>
      <x:c r="O21" s="93"/>
      <x:c r="P21" s="93"/>
      <x:c r="Q21" s="93"/>
      <x:c r="R21" s="54"/>
    </x:row>
    <x:row r="22" ht="21" customHeight="1">
      <x:c r="A22" s="54"/>
      <x:c r="B22" s="100"/>
      <x:c r="C22" s="120"/>
      <x:c r="D22" s="120"/>
      <x:c r="E22" s="12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54"/>
    </x:row>
    <x:row r="23" ht="21" customHeight="1">
      <x:c r="A23" s="54"/>
      <x:c r="B23" s="100"/>
      <x:c r="C23" s="120"/>
      <x:c r="D23" s="120"/>
      <x:c r="E23" s="12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54"/>
    </x:row>
    <x:row r="24" ht="21" customHeight="1">
      <x:c r="A24" s="54"/>
      <x:c r="B24" s="100"/>
      <x:c r="C24" s="120"/>
      <x:c r="D24" s="120"/>
      <x:c r="E24" s="12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54"/>
    </x:row>
    <x:row r="25" ht="21" customHeight="1">
      <x:c r="A25" s="54"/>
      <x:c r="B25" s="100"/>
      <x:c r="C25" s="120"/>
      <x:c r="D25" s="120"/>
      <x:c r="E25" s="12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54"/>
    </x:row>
    <x:row r="26" ht="21" customHeight="1">
      <x:c r="A26" s="54"/>
      <x:c r="B26" s="100"/>
      <x:c r="C26" s="120"/>
      <x:c r="D26" s="120"/>
      <x:c r="E26" s="12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54"/>
    </x:row>
    <x:row r="27" ht="21" customHeight="1">
      <x:c r="A27" s="54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54"/>
    </x:row>
    <x:row r="28" ht="21" customHeight="1">
      <x:c r="A28" s="54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54"/>
    </x:row>
    <x:row r="29" ht="21" customHeight="1">
      <x:c r="A29" s="54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54"/>
    </x:row>
    <x:row r="30" ht="21" customHeight="1">
      <x:c r="A30" s="54"/>
      <x:c r="B30" s="153"/>
      <x:c r="C30" s="153"/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00"/>
      <x:c r="Q30" s="100"/>
      <x:c r="R30" s="54"/>
    </x:row>
    <x:row r="31" ht="21" customHeight="1">
      <x:c r="A31" s="54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54"/>
    </x:row>
    <x:row r="32" ht="21" customHeight="1">
      <x:c r="A32" s="54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54"/>
    </x:row>
    <x:row r="33" ht="21" customHeight="1">
      <x:c r="A33" s="54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54"/>
    </x:row>
    <x:row r="34" ht="21" customHeight="1">
      <x:c r="A34" s="54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54"/>
    </x:row>
    <x:row r="35" ht="21" customHeight="1">
      <x:c r="A35" s="54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54"/>
    </x:row>
    <x:row r="36" ht="21" customHeight="1">
      <x:c r="A36" s="54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54"/>
    </x:row>
    <x:row r="37" ht="21" customHeight="1">
      <x:c r="A37" s="54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54"/>
    </x:row>
    <x:row r="38" ht="21" customHeight="1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</x:row>
    <x:row r="39" ht="27" customHeight="1">
      <x:c r="A39" s="54"/>
      <x:c r="B39" s="93" t="str">
        <x:v>04    ANALYSE DES MOIS SÉLECTIONNÉS</x:v>
      </x:c>
      <x:c r="C39" s="93"/>
      <x:c r="D39" s="93"/>
      <x:c r="E39" s="93"/>
      <x:c r="F39" s="93"/>
      <x:c r="G39" s="93"/>
      <x:c r="H39" s="93"/>
      <x:c r="I39" s="93"/>
      <x:c r="J39" s="93" t="str">
        <x:v>05    LECTURE MANAGÉRIALE</x:v>
      </x:c>
      <x:c r="K39" s="93"/>
      <x:c r="L39" s="93"/>
      <x:c r="M39" s="93"/>
      <x:c r="N39" s="93"/>
      <x:c r="O39" s="93"/>
      <x:c r="P39" s="93"/>
      <x:c r="Q39" s="93"/>
      <x:c r="R39" s="54"/>
    </x:row>
    <x:row r="40" ht="21" customHeight="1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</x:row>
    <x:row r="41" ht="24" customHeight="1">
      <x:c r="A41" s="54"/>
      <x:c r="B41" s="157" t="str">
        <x:v>MOIS</x:v>
      </x:c>
      <x:c r="C41" s="157"/>
      <x:c r="D41" s="157" t="str">
        <x:v>BUDGET (MAD)</x:v>
      </x:c>
      <x:c r="E41" s="157"/>
      <x:c r="F41" s="157"/>
      <x:c r="G41" s="157" t="str">
        <x:v>RÉALISÉ (MAD)</x:v>
      </x:c>
      <x:c r="H41" s="157"/>
      <x:c r="I41" s="157"/>
      <x:c r="J41" s="169" t="str">
        <x:f>IF(J15&gt;0,"ALERTE BUDGÉTAIRE  ·  Dépassement de "&amp;TEXT(J15,"#,##0")&amp;" MAD. Identifier les centres et les natures de charges responsables avant la prochaine clôture.",IF(J15&lt;0,"ÉCART FAVORABLE  ·  Économie de "&amp;TEXT(-J15,"#,##0")&amp;" MAD. Confirmer qu’il ne s’agit pas de factures non reçues ou d’un report de dépenses.","BUDGET MAÎTRISÉ  ·  Aucun écart global sur la période sélectionnée."))</x:f>
        <x:v>ALERTE BUDGÉTAIRE  ·  Dépassement de 202,400 MAD. Identifier les centres et les natures de charges responsables avant la prochaine clôture.</x:v>
      </x:c>
      <x:c r="K41" s="169"/>
      <x:c r="L41" s="169"/>
      <x:c r="M41" s="169"/>
      <x:c r="N41" s="169"/>
      <x:c r="O41" s="169"/>
      <x:c r="P41" s="169"/>
      <x:c r="Q41" s="169"/>
      <x:c r="R41" s="54"/>
    </x:row>
    <x:row r="42" ht="24" customHeight="1">
      <x:c r="A42" s="54"/>
      <x:c r="B42" s="160" t="str">
        <x:f>DATA_VISU!A2</x:f>
        <x:v>Jan</x:v>
      </x:c>
      <x:c r="C42" s="160"/>
      <x:c r="D42" s="161" t="n">
        <x:f>IFERROR(DATA_VISU!B2,0)</x:f>
        <x:v>941400</x:v>
      </x:c>
      <x:c r="E42" s="160"/>
      <x:c r="F42" s="160"/>
      <x:c r="G42" s="161" t="n">
        <x:f>IFERROR(DATA_VISU!C2,0)</x:f>
        <x:v>920000</x:v>
      </x:c>
      <x:c r="H42" s="160"/>
      <x:c r="I42" s="160"/>
      <x:c r="J42" s="169"/>
      <x:c r="K42" s="169"/>
      <x:c r="L42" s="169"/>
      <x:c r="M42" s="169"/>
      <x:c r="N42" s="169"/>
      <x:c r="O42" s="169"/>
      <x:c r="P42" s="169"/>
      <x:c r="Q42" s="169"/>
      <x:c r="R42" s="54"/>
    </x:row>
    <x:row r="43" ht="24" customHeight="1">
      <x:c r="A43" s="54"/>
      <x:c r="B43" s="164" t="str">
        <x:f>DATA_VISU!A3</x:f>
        <x:v>Fév</x:v>
      </x:c>
      <x:c r="C43" s="164"/>
      <x:c r="D43" s="165" t="n">
        <x:f>IFERROR(DATA_VISU!B3,0)</x:f>
        <x:v>967000</x:v>
      </x:c>
      <x:c r="E43" s="164"/>
      <x:c r="F43" s="164"/>
      <x:c r="G43" s="165" t="n">
        <x:f>IFERROR(DATA_VISU!C3,0)</x:f>
        <x:v>947200</x:v>
      </x:c>
      <x:c r="H43" s="164"/>
      <x:c r="I43" s="164"/>
      <x:c r="J43" s="169"/>
      <x:c r="K43" s="169"/>
      <x:c r="L43" s="169"/>
      <x:c r="M43" s="169"/>
      <x:c r="N43" s="169"/>
      <x:c r="O43" s="169"/>
      <x:c r="P43" s="169"/>
      <x:c r="Q43" s="169"/>
      <x:c r="R43" s="54"/>
    </x:row>
    <x:row r="44" ht="24" customHeight="1">
      <x:c r="A44" s="54"/>
      <x:c r="B44" s="160" t="str">
        <x:f>DATA_VISU!A4</x:f>
        <x:v>Mar</x:v>
      </x:c>
      <x:c r="C44" s="160"/>
      <x:c r="D44" s="161" t="n">
        <x:f>IFERROR(DATA_VISU!B4,0)</x:f>
        <x:v>986100</x:v>
      </x:c>
      <x:c r="E44" s="160"/>
      <x:c r="F44" s="160"/>
      <x:c r="G44" s="161" t="n">
        <x:f>IFERROR(DATA_VISU!C4,0)</x:f>
        <x:v>988400</x:v>
      </x:c>
      <x:c r="H44" s="160"/>
      <x:c r="I44" s="160"/>
      <x:c r="J44" s="169"/>
      <x:c r="K44" s="169"/>
      <x:c r="L44" s="169"/>
      <x:c r="M44" s="169"/>
      <x:c r="N44" s="169"/>
      <x:c r="O44" s="169"/>
      <x:c r="P44" s="169"/>
      <x:c r="Q44" s="169"/>
      <x:c r="R44" s="54"/>
    </x:row>
    <x:row r="45" ht="24" customHeight="1">
      <x:c r="A45" s="54"/>
      <x:c r="B45" s="164" t="str">
        <x:f>DATA_VISU!A5</x:f>
        <x:v>Avr</x:v>
      </x:c>
      <x:c r="C45" s="164"/>
      <x:c r="D45" s="165" t="n">
        <x:f>IFERROR(DATA_VISU!B5,0)</x:f>
        <x:v>993000</x:v>
      </x:c>
      <x:c r="E45" s="164"/>
      <x:c r="F45" s="164"/>
      <x:c r="G45" s="165" t="n">
        <x:f>IFERROR(DATA_VISU!C5,0)</x:f>
        <x:v>990400</x:v>
      </x:c>
      <x:c r="H45" s="164"/>
      <x:c r="I45" s="164"/>
      <x:c r="J45" s="169"/>
      <x:c r="K45" s="169"/>
      <x:c r="L45" s="169"/>
      <x:c r="M45" s="169"/>
      <x:c r="N45" s="169"/>
      <x:c r="O45" s="169"/>
      <x:c r="P45" s="169"/>
      <x:c r="Q45" s="169"/>
      <x:c r="R45" s="54"/>
    </x:row>
    <x:row r="46" ht="24" customHeight="1">
      <x:c r="A46" s="54"/>
      <x:c r="B46" s="160" t="str">
        <x:f>DATA_VISU!A6</x:f>
        <x:v>Mai</x:v>
      </x:c>
      <x:c r="C46" s="160"/>
      <x:c r="D46" s="161" t="n">
        <x:f>IFERROR(DATA_VISU!B6,0)</x:f>
        <x:v>986100</x:v>
      </x:c>
      <x:c r="E46" s="160"/>
      <x:c r="F46" s="160"/>
      <x:c r="G46" s="161" t="n">
        <x:f>IFERROR(DATA_VISU!C6,0)</x:f>
        <x:v>991300</x:v>
      </x:c>
      <x:c r="H46" s="160"/>
      <x:c r="I46" s="160"/>
      <x:c r="J46" s="169"/>
      <x:c r="K46" s="169"/>
      <x:c r="L46" s="169"/>
      <x:c r="M46" s="169"/>
      <x:c r="N46" s="169"/>
      <x:c r="O46" s="169"/>
      <x:c r="P46" s="169"/>
      <x:c r="Q46" s="169"/>
      <x:c r="R46" s="54"/>
    </x:row>
    <x:row r="47" ht="26" customHeight="1">
      <x:c r="A47" s="54"/>
      <x:c r="B47" s="164" t="str">
        <x:f>DATA_VISU!A7</x:f>
        <x:v>Juin</x:v>
      </x:c>
      <x:c r="C47" s="164"/>
      <x:c r="D47" s="165" t="n">
        <x:f>IFERROR(DATA_VISU!B7,0)</x:f>
        <x:v>967000</x:v>
      </x:c>
      <x:c r="E47" s="164"/>
      <x:c r="F47" s="164"/>
      <x:c r="G47" s="165" t="n">
        <x:f>IFERROR(DATA_VISU!C7,0)</x:f>
        <x:v>973900</x:v>
      </x:c>
      <x:c r="H47" s="164"/>
      <x:c r="I47" s="164"/>
      <x:c r="J47" s="173" t="str">
        <x:v>Écart = réalisé − budget  |  charges uniquement</x:v>
      </x:c>
      <x:c r="K47" s="173"/>
      <x:c r="L47" s="173"/>
      <x:c r="M47" s="173"/>
      <x:c r="N47" s="173"/>
      <x:c r="O47" s="173"/>
      <x:c r="P47" s="173"/>
      <x:c r="Q47" s="173"/>
      <x:c r="R47" s="54"/>
    </x:row>
    <x:row r="48" ht="21" customHeight="1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</x:row>
    <x:row r="49" ht="21" customHeight="1">
      <x:c r="A49" s="54"/>
      <x:c r="B49" s="177" t="str">
        <x:v>DONNÉES FICTIVES  •  Modèle de démonstration en contrôle de gestion  •  MAD  •  Khadija Machghoul</x:v>
      </x:c>
      <x:c r="C49" s="177"/>
      <x:c r="D49" s="177"/>
      <x:c r="E49" s="177"/>
      <x:c r="F49" s="177"/>
      <x:c r="G49" s="177"/>
      <x:c r="H49" s="177"/>
      <x:c r="I49" s="177"/>
      <x:c r="J49" s="177"/>
      <x:c r="K49" s="177"/>
      <x:c r="L49" s="177"/>
      <x:c r="M49" s="177"/>
      <x:c r="N49" s="177"/>
      <x:c r="O49" s="177"/>
      <x:c r="P49" s="177"/>
      <x:c r="Q49" s="177"/>
      <x:c r="R49" s="54"/>
    </x:row>
    <x:row r="50" ht="21" customHeight="1">
      <x:c r="A50" s="54"/>
      <x:c r="B50" s="177"/>
      <x:c r="C50" s="177"/>
      <x:c r="D50" s="177"/>
      <x:c r="E50" s="177"/>
      <x:c r="F50" s="177"/>
      <x:c r="G50" s="177"/>
      <x:c r="H50" s="177"/>
      <x:c r="I50" s="177"/>
      <x:c r="J50" s="177"/>
      <x:c r="K50" s="177"/>
      <x:c r="L50" s="177"/>
      <x:c r="M50" s="177"/>
      <x:c r="N50" s="177"/>
      <x:c r="O50" s="177"/>
      <x:c r="P50" s="177"/>
      <x:c r="Q50" s="177"/>
      <x:c r="R50" s="54"/>
    </x:row>
    <x:row r="51" ht="21" customHeight="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</x:row>
    <x:row r="52" ht="21" customHeight="1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</x:row>
    <x:row r="53" ht="21" customHeight="1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</x:row>
    <x:row r="54" ht="21" customHeight="1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</x:row>
    <x:row r="55" ht="21" customHeight="1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</x:row>
    <x:row r="56" ht="21" customHeight="1"/>
  </x:sheetData>
  <x:mergeCells>
    <x:mergeCell ref="A1:O2"/>
    <x:mergeCell ref="A3:O3"/>
    <x:mergeCell ref="B8:D8"/>
    <x:mergeCell ref="F8:H8"/>
    <x:mergeCell ref="J8:L8"/>
    <x:mergeCell ref="N8:O8"/>
    <x:mergeCell ref="B9:D11"/>
    <x:mergeCell ref="F9:H11"/>
    <x:mergeCell ref="J9:L11"/>
    <x:mergeCell ref="N9:O11"/>
    <x:mergeCell ref="B30:O30"/>
    <x:mergeCell ref="B2:Q4"/>
    <x:mergeCell ref="B5:I5"/>
    <x:mergeCell ref="J5:Q5"/>
    <x:mergeCell ref="B7:Q7"/>
    <x:mergeCell ref="B9:E9"/>
    <x:mergeCell ref="F9:I9"/>
    <x:mergeCell ref="J9:Q9"/>
    <x:mergeCell ref="B10:E11"/>
    <x:mergeCell ref="F10:I11"/>
    <x:mergeCell ref="J10:Q11"/>
    <x:mergeCell ref="B12:Q12"/>
    <x:mergeCell ref="B14:E14"/>
    <x:mergeCell ref="F14:I14"/>
    <x:mergeCell ref="J14:M14"/>
    <x:mergeCell ref="N14:Q14"/>
    <x:mergeCell ref="B15:E18"/>
    <x:mergeCell ref="F15:I18"/>
    <x:mergeCell ref="J15:M18"/>
    <x:mergeCell ref="N15:Q18"/>
    <x:mergeCell ref="B19:E19"/>
    <x:mergeCell ref="F19:I19"/>
    <x:mergeCell ref="J19:M19"/>
    <x:mergeCell ref="N19:Q19"/>
    <x:mergeCell ref="B21:I21"/>
    <x:mergeCell ref="J21:Q21"/>
    <x:mergeCell ref="B39:I39"/>
    <x:mergeCell ref="J39:Q39"/>
    <x:mergeCell ref="B41:C41"/>
    <x:mergeCell ref="D41:F41"/>
    <x:mergeCell ref="G41:I41"/>
    <x:mergeCell ref="B42:C42"/>
    <x:mergeCell ref="D42:F42"/>
    <x:mergeCell ref="G42:I42"/>
    <x:mergeCell ref="B43:C43"/>
    <x:mergeCell ref="D43:F43"/>
    <x:mergeCell ref="G43:I43"/>
    <x:mergeCell ref="B44:C44"/>
    <x:mergeCell ref="D44:F44"/>
    <x:mergeCell ref="G44:I44"/>
    <x:mergeCell ref="B45:C45"/>
    <x:mergeCell ref="D45:F45"/>
    <x:mergeCell ref="G45:I45"/>
    <x:mergeCell ref="B46:C46"/>
    <x:mergeCell ref="D46:F46"/>
    <x:mergeCell ref="G46:I46"/>
    <x:mergeCell ref="B47:C47"/>
    <x:mergeCell ref="D47:F47"/>
    <x:mergeCell ref="G47:I47"/>
    <x:mergeCell ref="J41:Q46"/>
    <x:mergeCell ref="J47:Q47"/>
    <x:mergeCell ref="B49:Q50"/>
  </x:mergeCells>
  <x:dataValidations count="4">
    <x:dataValidation type="list" sqref="B6">
      <x:formula1>"Tous les centres,Direction générale,Finance &amp; Comptabilité,Commercial &amp; Marketing,Production,Logistique,Systèmes d’information"</x:formula1>
    </x:dataValidation>
    <x:dataValidation type="list" sqref="G6">
      <x:formula1>"1,2,3,4,5,6,7,8,9,10,11,12"</x:formula1>
    </x:dataValidation>
    <x:dataValidation type="list" sqref="B10">
      <x:formula1>"Tous les centres,Direction générale,Finance &amp; Comptabilité,Commercial &amp; Marketing,Production,Logistique,Systèmes d’information"</x:formula1>
    </x:dataValidation>
    <x:dataValidation type="list" sqref="F10">
      <x:formula1>"1,2,3,4,5,6,7,8,9,10,11,12"</x:formula1>
    </x:dataValidation>
  </x:dataValidations>
  <x:pageMargins left="0.7" right="0.7" top="0.75" bottom="0.75" header="0.3" footer="0.3"/>
  <x:drawing xmlns:r="http://schemas.openxmlformats.org/officeDocument/2006/relationships" r:id="R7ce4ce9d32cf4c2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4" t="str">
        <x:v>ANALYSE PAR CENTRE DE COÛTS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Vue dynamique liée à la sélection du mois sur DASHBOARD</x:v>
      </x:c>
      <x:c r="B3" s="9"/>
      <x:c r="C3" s="9"/>
      <x:c r="D3" s="9"/>
      <x:c r="E3" s="9"/>
      <x:c r="F3" s="9"/>
      <x:c r="G3" s="9"/>
      <x:c r="H3" s="9"/>
    </x:row>
    <x:row r="6" ht="27" customHeight="1">
      <x:c r="A6" s="13" t="str">
        <x:v>Centre de coûts</x:v>
      </x:c>
      <x:c r="B6" s="13" t="str">
        <x:v>Budget YTD</x:v>
      </x:c>
      <x:c r="C6" s="13" t="str">
        <x:v>Réalisé YTD</x:v>
      </x:c>
      <x:c r="D6" s="13" t="str">
        <x:v>Écart MAD</x:v>
      </x:c>
      <x:c r="E6" s="13" t="str">
        <x:v>Écart %</x:v>
      </x:c>
      <x:c r="F6" s="13" t="str">
        <x:v>Diagnostic</x:v>
      </x:c>
    </x:row>
    <x:row r="7">
      <x:c r="A7" t="str">
        <x:v>Direction générale</x:v>
      </x:c>
      <x:c r="B7" s="22" t="n">
        <x:f>SUMIFS(DONNEES_2026!$F$6:$F$365,DONNEES_2026!$D$6:$D$365,$A7,DONNEES_2026!$B$6:$B$365,"&lt;="&amp;DASHBOARD!$F$10)</x:f>
        <x:v>1727700</x:v>
      </x:c>
      <x:c r="C7" s="22" t="n">
        <x:f>SUMIFS(DONNEES_2026!$G$6:$G$365,DONNEES_2026!$D$6:$D$365,$A7,DONNEES_2026!$B$6:$B$365,"&lt;="&amp;DASHBOARD!$F$10)</x:f>
        <x:v>1687100</x:v>
      </x:c>
      <x:c r="D7" s="22" t="n">
        <x:f>C7-B7</x:f>
        <x:v>-40600</x:v>
      </x:c>
      <x:c r="E7" s="24" t="n">
        <x:f>IFERROR(D7/B7,0)</x:f>
        <x:v>-0.023499450136018986</x:v>
      </x:c>
      <x:c r="F7" t="str">
        <x:f>IF(E7&gt;HYPOTHESES!$B$8,"ALERTE",IF(E7&gt;0,"SURVEILLANCE","MAÎTRISÉ"))</x:f>
        <x:v>MAÎTRISÉ</x:v>
      </x:c>
    </x:row>
    <x:row r="8">
      <x:c r="A8" t="str">
        <x:v>Finance &amp; Comptabilité</x:v>
      </x:c>
      <x:c r="B8" s="22" t="n">
        <x:f>SUMIFS(DONNEES_2026!$F$6:$F$365,DONNEES_2026!$D$6:$D$365,$A8,DONNEES_2026!$B$6:$B$365,"&lt;="&amp;DASHBOARD!$F$10)</x:f>
        <x:v>933200</x:v>
      </x:c>
      <x:c r="C8" s="22" t="n">
        <x:f>SUMIFS(DONNEES_2026!$G$6:$G$365,DONNEES_2026!$D$6:$D$365,$A8,DONNEES_2026!$B$6:$B$365,"&lt;="&amp;DASHBOARD!$F$10)</x:f>
        <x:v>904500</x:v>
      </x:c>
      <x:c r="D8" s="22" t="n">
        <x:f>C8-B8</x:f>
        <x:v>-28700</x:v>
      </x:c>
      <x:c r="E8" s="24" t="n">
        <x:f>IFERROR(D8/B8,0)</x:f>
        <x:v>-0.03075439348478354</x:v>
      </x:c>
      <x:c r="F8" t="str">
        <x:f>IF(E8&gt;HYPOTHESES!$B$8,"ALERTE",IF(E8&gt;0,"SURVEILLANCE","MAÎTRISÉ"))</x:f>
        <x:v>MAÎTRISÉ</x:v>
      </x:c>
    </x:row>
    <x:row r="9">
      <x:c r="A9" t="str">
        <x:v>Commercial &amp; Marketing</x:v>
      </x:c>
      <x:c r="B9" s="22" t="n">
        <x:f>SUMIFS(DONNEES_2026!$F$6:$F$365,DONNEES_2026!$D$6:$D$365,$A9,DONNEES_2026!$B$6:$B$365,"&lt;="&amp;DASHBOARD!$F$10)</x:f>
        <x:v>2008500</x:v>
      </x:c>
      <x:c r="C9" s="22" t="n">
        <x:f>SUMIFS(DONNEES_2026!$G$6:$G$365,DONNEES_2026!$D$6:$D$365,$A9,DONNEES_2026!$B$6:$B$365,"&lt;="&amp;DASHBOARD!$F$10)</x:f>
        <x:v>2032700</x:v>
      </x:c>
      <x:c r="D9" s="22" t="n">
        <x:f>C9-B9</x:f>
        <x:v>24200</x:v>
      </x:c>
      <x:c r="E9" s="24" t="n">
        <x:f>IFERROR(D9/B9,0)</x:f>
        <x:v>0.012048792631316902</x:v>
      </x:c>
      <x:c r="F9" t="str">
        <x:f>IF(E9&gt;HYPOTHESES!$B$8,"ALERTE",IF(E9&gt;0,"SURVEILLANCE","MAÎTRISÉ"))</x:f>
        <x:v>SURVEILLANCE</x:v>
      </x:c>
    </x:row>
    <x:row r="10">
      <x:c r="A10" t="str">
        <x:v>Production</x:v>
      </x:c>
      <x:c r="B10" s="22" t="n">
        <x:f>SUMIFS(DONNEES_2026!$F$6:$F$365,DONNEES_2026!$D$6:$D$365,$A10,DONNEES_2026!$B$6:$B$365,"&lt;="&amp;DASHBOARD!$F$10)</x:f>
        <x:v>3356000</x:v>
      </x:c>
      <x:c r="C10" s="22" t="n">
        <x:f>SUMIFS(DONNEES_2026!$G$6:$G$365,DONNEES_2026!$D$6:$D$365,$A10,DONNEES_2026!$B$6:$B$365,"&lt;="&amp;DASHBOARD!$F$10)</x:f>
        <x:v>3479200</x:v>
      </x:c>
      <x:c r="D10" s="22" t="n">
        <x:f>C10-B10</x:f>
        <x:v>123200</x:v>
      </x:c>
      <x:c r="E10" s="24" t="n">
        <x:f>IFERROR(D10/B10,0)</x:f>
        <x:v>0.0367103694874851</x:v>
      </x:c>
      <x:c r="F10" t="str">
        <x:f>IF(E10&gt;HYPOTHESES!$B$8,"ALERTE",IF(E10&gt;0,"SURVEILLANCE","MAÎTRISÉ"))</x:f>
        <x:v>SURVEILLANCE</x:v>
      </x:c>
    </x:row>
    <x:row r="11">
      <x:c r="A11" t="str">
        <x:v>Logistique</x:v>
      </x:c>
      <x:c r="B11" s="22" t="n">
        <x:f>SUMIFS(DONNEES_2026!$F$6:$F$365,DONNEES_2026!$D$6:$D$365,$A11,DONNEES_2026!$B$6:$B$365,"&lt;="&amp;DASHBOARD!$F$10)</x:f>
        <x:v>1595800</x:v>
      </x:c>
      <x:c r="C11" s="22" t="n">
        <x:f>SUMIFS(DONNEES_2026!$G$6:$G$365,DONNEES_2026!$D$6:$D$365,$A11,DONNEES_2026!$B$6:$B$365,"&lt;="&amp;DASHBOARD!$F$10)</x:f>
        <x:v>1630100</x:v>
      </x:c>
      <x:c r="D11" s="22" t="n">
        <x:f>C11-B11</x:f>
        <x:v>34300</x:v>
      </x:c>
      <x:c r="E11" s="24" t="n">
        <x:f>IFERROR(D11/B11,0)</x:f>
        <x:v>0.02149392154405314</x:v>
      </x:c>
      <x:c r="F11" t="str">
        <x:f>IF(E11&gt;HYPOTHESES!$B$8,"ALERTE",IF(E11&gt;0,"SURVEILLANCE","MAÎTRISÉ"))</x:f>
        <x:v>SURVEILLANCE</x:v>
      </x:c>
    </x:row>
    <x:row r="12">
      <x:c r="A12" t="str">
        <x:v>Systèmes d’information</x:v>
      </x:c>
      <x:c r="B12" s="22" t="n">
        <x:f>SUMIFS(DONNEES_2026!$F$6:$F$365,DONNEES_2026!$D$6:$D$365,$A12,DONNEES_2026!$B$6:$B$365,"&lt;="&amp;DASHBOARD!$F$10)</x:f>
        <x:v>1723300</x:v>
      </x:c>
      <x:c r="C12" s="22" t="n">
        <x:f>SUMIFS(DONNEES_2026!$G$6:$G$365,DONNEES_2026!$D$6:$D$365,$A12,DONNEES_2026!$B$6:$B$365,"&lt;="&amp;DASHBOARD!$F$10)</x:f>
        <x:v>1813300</x:v>
      </x:c>
      <x:c r="D12" s="22" t="n">
        <x:f>C12-B12</x:f>
        <x:v>90000</x:v>
      </x:c>
      <x:c r="E12" s="24" t="n">
        <x:f>IFERROR(D12/B12,0)</x:f>
        <x:v>0.05222538153542622</x:v>
      </x:c>
      <x:c r="F12" t="str">
        <x:f>IF(E12&gt;HYPOTHESES!$B$8,"ALERTE",IF(E12&gt;0,"SURVEILLANCE","MAÎTRISÉ"))</x:f>
        <x:v>ALERTE</x:v>
      </x:c>
    </x:row>
    <x:row r="13">
      <x:c r="B13" s="22"/>
      <x:c r="C13" s="22"/>
      <x:c r="D13" s="22"/>
      <x:c r="E13" s="24"/>
    </x:row>
    <x:row r="14">
      <x:c r="A14" s="42" t="str">
        <x:v>TOTAL</x:v>
      </x:c>
      <x:c r="B14" s="46" t="n">
        <x:f>SUM(B7:B12)</x:f>
        <x:v>11344500</x:v>
      </x:c>
      <x:c r="C14" s="46" t="n">
        <x:f>SUM(C7:C12)</x:f>
        <x:v>11546900</x:v>
      </x:c>
      <x:c r="D14" s="46" t="n">
        <x:f>SUM(D7:D12)</x:f>
        <x:v>202400</x:v>
      </x:c>
      <x:c r="E14" s="47" t="n">
        <x:f>IFERROR(D14/B14,0)</x:f>
        <x:v>0.017841244656000704</x:v>
      </x:c>
      <x:c r="F14" s="42"/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02f5b652635f43d2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4" t="str">
        <x:v>ANALYSE PAR POSTE DE CHARGES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Vue dynamique par centre et mois choisis dans DASHBOARD</x:v>
      </x:c>
      <x:c r="B3" s="9"/>
      <x:c r="C3" s="9"/>
      <x:c r="D3" s="9"/>
      <x:c r="E3" s="9"/>
      <x:c r="F3" s="9"/>
      <x:c r="G3" s="9"/>
      <x:c r="H3" s="9"/>
    </x:row>
    <x:row r="6" ht="27" customHeight="1">
      <x:c r="A6" s="13" t="str">
        <x:v>Poste de charges</x:v>
      </x:c>
      <x:c r="B6" s="13" t="str">
        <x:v>Budget YTD</x:v>
      </x:c>
      <x:c r="C6" s="13" t="str">
        <x:v>Réalisé YTD</x:v>
      </x:c>
      <x:c r="D6" s="13" t="str">
        <x:v>Écart MAD</x:v>
      </x:c>
      <x:c r="E6" s="13" t="str">
        <x:v>Écart %</x:v>
      </x:c>
      <x:c r="F6" s="13" t="str">
        <x:v>Diagnostic</x:v>
      </x:c>
    </x:row>
    <x:row r="7">
      <x:c r="A7" t="str">
        <x:v>Personnel</x:v>
      </x:c>
      <x:c r="B7" s="22" t="n">
        <x:f>IF(DASHBOARD!$B$10="Tous les centres",SUMIFS(DONNEES_2026!$F$6:$F$365,DONNEES_2026!$E$6:$E$365,$A7,DONNEES_2026!$B$6:$B$365,"&lt;="&amp;DASHBOARD!$F$10),SUMIFS(DONNEES_2026!$F$6:$F$365,DONNEES_2026!$E$6:$E$365,$A7,DONNEES_2026!$B$6:$B$365,"&lt;="&amp;DASHBOARD!$F$10,DONNEES_2026!$D$6:$D$365,DASHBOARD!$B$10))</x:f>
        <x:v>6690100</x:v>
      </x:c>
      <x:c r="C7" s="22" t="n">
        <x:f>IF(DASHBOARD!$B$10="Tous les centres",SUMIFS(DONNEES_2026!$G$6:$G$365,DONNEES_2026!$E$6:$E$365,$A7,DONNEES_2026!$B$6:$B$365,"&lt;="&amp;DASHBOARD!$F$10),SUMIFS(DONNEES_2026!$G$6:$G$365,DONNEES_2026!$E$6:$E$365,$A7,DONNEES_2026!$B$6:$B$365,"&lt;="&amp;DASHBOARD!$F$10,DONNEES_2026!$D$6:$D$365,DASHBOARD!$B$10))</x:f>
        <x:v>6701000</x:v>
      </x:c>
      <x:c r="D7" s="22" t="n">
        <x:f>C7-B7</x:f>
        <x:v>10900</x:v>
      </x:c>
      <x:c r="E7" s="24" t="n">
        <x:f>IFERROR(D7/B7,0)</x:f>
        <x:v>0.0016292731050357992</x:v>
      </x:c>
      <x:c r="F7" t="str">
        <x:f>IF(E7&gt;HYPOTHESES!$B$8,"ALERTE",IF(E7&gt;0,"SURVEILLANCE","MAÎTRISÉ"))</x:f>
        <x:v>SURVEILLANCE</x:v>
      </x:c>
    </x:row>
    <x:row r="8">
      <x:c r="A8" t="str">
        <x:v>Prestations externes</x:v>
      </x:c>
      <x:c r="B8" s="22" t="n">
        <x:f>IF(DASHBOARD!$B$10="Tous les centres",SUMIFS(DONNEES_2026!$F$6:$F$365,DONNEES_2026!$E$6:$E$365,$A8,DONNEES_2026!$B$6:$B$365,"&lt;="&amp;DASHBOARD!$F$10),SUMIFS(DONNEES_2026!$F$6:$F$365,DONNEES_2026!$E$6:$E$365,$A8,DONNEES_2026!$B$6:$B$365,"&lt;="&amp;DASHBOARD!$F$10,DONNEES_2026!$D$6:$D$365,DASHBOARD!$B$10))</x:f>
        <x:v>2280300</x:v>
      </x:c>
      <x:c r="C8" s="22" t="n">
        <x:f>IF(DASHBOARD!$B$10="Tous les centres",SUMIFS(DONNEES_2026!$G$6:$G$365,DONNEES_2026!$E$6:$E$365,$A8,DONNEES_2026!$B$6:$B$365,"&lt;="&amp;DASHBOARD!$F$10),SUMIFS(DONNEES_2026!$G$6:$G$365,DONNEES_2026!$E$6:$E$365,$A8,DONNEES_2026!$B$6:$B$365,"&lt;="&amp;DASHBOARD!$F$10,DONNEES_2026!$D$6:$D$365,DASHBOARD!$B$10))</x:f>
        <x:v>2300800</x:v>
      </x:c>
      <x:c r="D8" s="22" t="n">
        <x:f>C8-B8</x:f>
        <x:v>20500</x:v>
      </x:c>
      <x:c r="E8" s="24" t="n">
        <x:f>IFERROR(D8/B8,0)</x:f>
        <x:v>0.008990045169495241</x:v>
      </x:c>
      <x:c r="F8" t="str">
        <x:f>IF(E8&gt;HYPOTHESES!$B$8,"ALERTE",IF(E8&gt;0,"SURVEILLANCE","MAÎTRISÉ"))</x:f>
        <x:v>SURVEILLANCE</x:v>
      </x:c>
    </x:row>
    <x:row r="9">
      <x:c r="A9" t="str">
        <x:v>Déplacements</x:v>
      </x:c>
      <x:c r="B9" s="22" t="n">
        <x:f>IF(DASHBOARD!$B$10="Tous les centres",SUMIFS(DONNEES_2026!$F$6:$F$365,DONNEES_2026!$E$6:$E$365,$A9,DONNEES_2026!$B$6:$B$365,"&lt;="&amp;DASHBOARD!$F$10),SUMIFS(DONNEES_2026!$F$6:$F$365,DONNEES_2026!$E$6:$E$365,$A9,DONNEES_2026!$B$6:$B$365,"&lt;="&amp;DASHBOARD!$F$10,DONNEES_2026!$D$6:$D$365,DASHBOARD!$B$10))</x:f>
        <x:v>544000</x:v>
      </x:c>
      <x:c r="C9" s="22" t="n">
        <x:f>IF(DASHBOARD!$B$10="Tous les centres",SUMIFS(DONNEES_2026!$G$6:$G$365,DONNEES_2026!$E$6:$E$365,$A9,DONNEES_2026!$B$6:$B$365,"&lt;="&amp;DASHBOARD!$F$10),SUMIFS(DONNEES_2026!$G$6:$G$365,DONNEES_2026!$E$6:$E$365,$A9,DONNEES_2026!$B$6:$B$365,"&lt;="&amp;DASHBOARD!$F$10,DONNEES_2026!$D$6:$D$365,DASHBOARD!$B$10))</x:f>
        <x:v>568400</x:v>
      </x:c>
      <x:c r="D9" s="22" t="n">
        <x:f>C9-B9</x:f>
        <x:v>24400</x:v>
      </x:c>
      <x:c r="E9" s="24" t="n">
        <x:f>IFERROR(D9/B9,0)</x:f>
        <x:v>0.04485294117647059</x:v>
      </x:c>
      <x:c r="F9" t="str">
        <x:f>IF(E9&gt;HYPOTHESES!$B$8,"ALERTE",IF(E9&gt;0,"SURVEILLANCE","MAÎTRISÉ"))</x:f>
        <x:v>SURVEILLANCE</x:v>
      </x:c>
    </x:row>
    <x:row r="10">
      <x:c r="A10" t="str">
        <x:v>Énergie &amp; Maintenance</x:v>
      </x:c>
      <x:c r="B10" s="22" t="n">
        <x:f>IF(DASHBOARD!$B$10="Tous les centres",SUMIFS(DONNEES_2026!$F$6:$F$365,DONNEES_2026!$E$6:$E$365,$A10,DONNEES_2026!$B$6:$B$365,"&lt;="&amp;DASHBOARD!$F$10),SUMIFS(DONNEES_2026!$F$6:$F$365,DONNEES_2026!$E$6:$E$365,$A10,DONNEES_2026!$B$6:$B$365,"&lt;="&amp;DASHBOARD!$F$10,DONNEES_2026!$D$6:$D$365,DASHBOARD!$B$10))</x:f>
        <x:v>965100</x:v>
      </x:c>
      <x:c r="C10" s="22" t="n">
        <x:f>IF(DASHBOARD!$B$10="Tous les centres",SUMIFS(DONNEES_2026!$G$6:$G$365,DONNEES_2026!$E$6:$E$365,$A10,DONNEES_2026!$B$6:$B$365,"&lt;="&amp;DASHBOARD!$F$10),SUMIFS(DONNEES_2026!$G$6:$G$365,DONNEES_2026!$E$6:$E$365,$A10,DONNEES_2026!$B$6:$B$365,"&lt;="&amp;DASHBOARD!$F$10,DONNEES_2026!$D$6:$D$365,DASHBOARD!$B$10))</x:f>
        <x:v>1056500</x:v>
      </x:c>
      <x:c r="D10" s="22" t="n">
        <x:f>C10-B10</x:f>
        <x:v>91400</x:v>
      </x:c>
      <x:c r="E10" s="24" t="n">
        <x:f>IFERROR(D10/B10,0)</x:f>
        <x:v>0.0947052118951404</x:v>
      </x:c>
      <x:c r="F10" t="str">
        <x:f>IF(E10&gt;HYPOTHESES!$B$8,"ALERTE",IF(E10&gt;0,"SURVEILLANCE","MAÎTRISÉ"))</x:f>
        <x:v>ALERTE</x:v>
      </x:c>
    </x:row>
    <x:row r="11">
      <x:c r="A11" t="str">
        <x:v>Logiciels &amp; Autres</x:v>
      </x:c>
      <x:c r="B11" s="22" t="n">
        <x:f>IF(DASHBOARD!$B$10="Tous les centres",SUMIFS(DONNEES_2026!$F$6:$F$365,DONNEES_2026!$E$6:$E$365,$A11,DONNEES_2026!$B$6:$B$365,"&lt;="&amp;DASHBOARD!$F$10),SUMIFS(DONNEES_2026!$F$6:$F$365,DONNEES_2026!$E$6:$E$365,$A11,DONNEES_2026!$B$6:$B$365,"&lt;="&amp;DASHBOARD!$F$10,DONNEES_2026!$D$6:$D$365,DASHBOARD!$B$10))</x:f>
        <x:v>865000</x:v>
      </x:c>
      <x:c r="C11" s="22" t="n">
        <x:f>IF(DASHBOARD!$B$10="Tous les centres",SUMIFS(DONNEES_2026!$G$6:$G$365,DONNEES_2026!$E$6:$E$365,$A11,DONNEES_2026!$B$6:$B$365,"&lt;="&amp;DASHBOARD!$F$10),SUMIFS(DONNEES_2026!$G$6:$G$365,DONNEES_2026!$E$6:$E$365,$A11,DONNEES_2026!$B$6:$B$365,"&lt;="&amp;DASHBOARD!$F$10,DONNEES_2026!$D$6:$D$365,DASHBOARD!$B$10))</x:f>
        <x:v>920200</x:v>
      </x:c>
      <x:c r="D11" s="22" t="n">
        <x:f>C11-B11</x:f>
        <x:v>55200</x:v>
      </x:c>
      <x:c r="E11" s="24" t="n">
        <x:f>IFERROR(D11/B11,0)</x:f>
        <x:v>0.0638150289017341</x:v>
      </x:c>
      <x:c r="F11" t="str">
        <x:f>IF(E11&gt;HYPOTHESES!$B$8,"ALERTE",IF(E11&gt;0,"SURVEILLANCE","MAÎTRISÉ"))</x:f>
        <x:v>ALERTE</x:v>
      </x:c>
    </x:row>
    <x:row r="12">
      <x:c r="B12" s="22"/>
      <x:c r="C12" s="22"/>
      <x:c r="D12" s="22"/>
      <x:c r="E12" s="24"/>
    </x:row>
    <x:row r="13">
      <x:c r="A13" s="42" t="str">
        <x:v>TOTAL</x:v>
      </x:c>
      <x:c r="B13" s="46" t="n">
        <x:f>SUM(B7:B11)</x:f>
        <x:v>11344500</x:v>
      </x:c>
      <x:c r="C13" s="46" t="n">
        <x:f>SUM(C7:C11)</x:f>
        <x:v>11546900</x:v>
      </x:c>
      <x:c r="D13" s="46" t="n">
        <x:f>SUM(D7:D11)</x:f>
        <x:v>202400</x:v>
      </x:c>
      <x:c r="E13" s="47" t="n">
        <x:f>IFERROR(D13/B13,0)</x:f>
        <x:v>0.017841244656000704</x:v>
      </x:c>
      <x:c r="F13" s="42"/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3fbfb30a3dd44a3b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30" hidden="0" customWidth="1"/>
    <x:col min="5" max="5" width="2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4" customHeight="1">
      <x:c r="A1" s="4" t="str">
        <x:v>BASE FINANCIÈRE | BUDGET &amp; RÉALISÉ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9" t="str">
        <x:v>2026  •  6 centres de coûts × 5 postes × 12 mois = 360 observations  •  MAD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 ht="27" customHeight="1">
      <x:c r="A5" s="13" t="str">
        <x:v>Année</x:v>
      </x:c>
      <x:c r="B5" s="13" t="str">
        <x:v>Mois N°</x:v>
      </x:c>
      <x:c r="C5" s="13" t="str">
        <x:v>Mois</x:v>
      </x:c>
      <x:c r="D5" s="13" t="str">
        <x:v>Centre de coûts</x:v>
      </x:c>
      <x:c r="E5" s="13" t="str">
        <x:v>Poste de charges</x:v>
      </x:c>
      <x:c r="F5" s="13" t="str">
        <x:v>Budget (MAD)</x:v>
      </x:c>
      <x:c r="G5" s="13" t="str">
        <x:v>Réalisé (MAD)</x:v>
      </x:c>
      <x:c r="H5" s="13" t="str">
        <x:v>Écart (MAD)</x:v>
      </x:c>
      <x:c r="I5" s="13" t="str">
        <x:v>Écart %</x:v>
      </x:c>
      <x:c r="J5" s="13" t="str">
        <x:v>Statut</x:v>
      </x:c>
    </x:row>
    <x:row r="6">
      <x:c r="A6" s="18" t="n">
        <x:v>2026</x:v>
      </x:c>
      <x:c r="B6" s="18" t="n">
        <x:v>1</x:v>
      </x:c>
      <x:c r="C6" s="18" t="str">
        <x:v>Janvier</x:v>
      </x:c>
      <x:c r="D6" s="18" t="str">
        <x:v>Direction générale</x:v>
      </x:c>
      <x:c r="E6" s="18" t="str">
        <x:v>Personnel</x:v>
      </x:c>
      <x:c r="F6" s="26" t="n">
        <x:v>81700</x:v>
      </x:c>
      <x:c r="G6" s="26" t="n">
        <x:v>71600</x:v>
      </x:c>
      <x:c r="H6" s="22" t="n">
        <x:f>G6-F6</x:f>
        <x:v>-10100</x:v>
      </x:c>
      <x:c r="I6" s="24" t="n">
        <x:f>IFERROR(H6/F6,0)</x:f>
        <x:v>-0.12362301101591187</x:v>
      </x:c>
      <x:c r="J6" t="str">
        <x:f>IF(H6&gt;F6*(1+HYPOTHESES!$B$8),"ALERTE",IF(H6&gt;F6,"SURVEILLANCE","MAÎTRISÉ"))</x:f>
        <x:v>MAÎTRISÉ</x:v>
      </x:c>
    </x:row>
    <x:row r="7">
      <x:c r="A7" s="18" t="n">
        <x:v>2026</x:v>
      </x:c>
      <x:c r="B7" s="18" t="n">
        <x:v>1</x:v>
      </x:c>
      <x:c r="C7" s="18" t="str">
        <x:v>Janvier</x:v>
      </x:c>
      <x:c r="D7" s="18" t="str">
        <x:v>Direction générale</x:v>
      </x:c>
      <x:c r="E7" s="18" t="str">
        <x:v>Prestations externes</x:v>
      </x:c>
      <x:c r="F7" s="26" t="n">
        <x:v>40000</x:v>
      </x:c>
      <x:c r="G7" s="26" t="n">
        <x:v>38100</x:v>
      </x:c>
      <x:c r="H7" s="22" t="n">
        <x:f>G7-F7</x:f>
        <x:v>-1900</x:v>
      </x:c>
      <x:c r="I7" s="24" t="n">
        <x:f>IFERROR(H7/F7,0)</x:f>
        <x:v>-0.0475</x:v>
      </x:c>
      <x:c r="J7" t="str">
        <x:f>IF(H7&gt;F7*(1+HYPOTHESES!$B$8),"ALERTE",IF(H7&gt;F7,"SURVEILLANCE","MAÎTRISÉ"))</x:f>
        <x:v>MAÎTRISÉ</x:v>
      </x:c>
    </x:row>
    <x:row r="8">
      <x:c r="A8" s="18" t="n">
        <x:v>2026</x:v>
      </x:c>
      <x:c r="B8" s="18" t="n">
        <x:v>1</x:v>
      </x:c>
      <x:c r="C8" s="18" t="str">
        <x:v>Janvier</x:v>
      </x:c>
      <x:c r="D8" s="18" t="str">
        <x:v>Direction générale</x:v>
      </x:c>
      <x:c r="E8" s="18" t="str">
        <x:v>Déplacements</x:v>
      </x:c>
      <x:c r="F8" s="26" t="n">
        <x:v>7000</x:v>
      </x:c>
      <x:c r="G8" s="26" t="n">
        <x:v>7200</x:v>
      </x:c>
      <x:c r="H8" s="22" t="n">
        <x:f>G8-F8</x:f>
        <x:v>200</x:v>
      </x:c>
      <x:c r="I8" s="24" t="n">
        <x:f>IFERROR(H8/F8,0)</x:f>
        <x:v>0.02857142857142857</x:v>
      </x:c>
      <x:c r="J8" t="str">
        <x:f>IF(H8&gt;F8*(1+HYPOTHESES!$B$8),"ALERTE",IF(H8&gt;F8,"SURVEILLANCE","MAÎTRISÉ"))</x:f>
        <x:v>MAÎTRISÉ</x:v>
      </x:c>
    </x:row>
    <x:row r="9">
      <x:c r="A9" s="18" t="n">
        <x:v>2026</x:v>
      </x:c>
      <x:c r="B9" s="18" t="n">
        <x:v>1</x:v>
      </x:c>
      <x:c r="C9" s="18" t="str">
        <x:v>Janvier</x:v>
      </x:c>
      <x:c r="D9" s="18" t="str">
        <x:v>Direction générale</x:v>
      </x:c>
      <x:c r="E9" s="18" t="str">
        <x:v>Énergie &amp; Maintenance</x:v>
      </x:c>
      <x:c r="F9" s="26" t="n">
        <x:v>8800</x:v>
      </x:c>
      <x:c r="G9" s="26" t="n">
        <x:v>8100</x:v>
      </x:c>
      <x:c r="H9" s="22" t="n">
        <x:f>G9-F9</x:f>
        <x:v>-700</x:v>
      </x:c>
      <x:c r="I9" s="24" t="n">
        <x:f>IFERROR(H9/F9,0)</x:f>
        <x:v>-0.07954545454545454</x:v>
      </x:c>
      <x:c r="J9" t="str">
        <x:f>IF(H9&gt;F9*(1+HYPOTHESES!$B$8),"ALERTE",IF(H9&gt;F9,"SURVEILLANCE","MAÎTRISÉ"))</x:f>
        <x:v>MAÎTRISÉ</x:v>
      </x:c>
    </x:row>
    <x:row r="10">
      <x:c r="A10" s="18" t="n">
        <x:v>2026</x:v>
      </x:c>
      <x:c r="B10" s="18" t="n">
        <x:v>1</x:v>
      </x:c>
      <x:c r="C10" s="18" t="str">
        <x:v>Janvier</x:v>
      </x:c>
      <x:c r="D10" s="18" t="str">
        <x:v>Direction générale</x:v>
      </x:c>
      <x:c r="E10" s="18" t="str">
        <x:v>Logiciels &amp; Autres</x:v>
      </x:c>
      <x:c r="F10" s="26" t="n">
        <x:v>5900</x:v>
      </x:c>
      <x:c r="G10" s="26" t="n">
        <x:v>5500</x:v>
      </x:c>
      <x:c r="H10" s="22" t="n">
        <x:f>G10-F10</x:f>
        <x:v>-400</x:v>
      </x:c>
      <x:c r="I10" s="24" t="n">
        <x:f>IFERROR(H10/F10,0)</x:f>
        <x:v>-0.06779661016949153</x:v>
      </x:c>
      <x:c r="J10" t="str">
        <x:f>IF(H10&gt;F10*(1+HYPOTHESES!$B$8),"ALERTE",IF(H10&gt;F10,"SURVEILLANCE","MAÎTRISÉ"))</x:f>
        <x:v>MAÎTRISÉ</x:v>
      </x:c>
    </x:row>
    <x:row r="11">
      <x:c r="A11" s="18" t="n">
        <x:v>2026</x:v>
      </x:c>
      <x:c r="B11" s="18" t="n">
        <x:v>1</x:v>
      </x:c>
      <x:c r="C11" s="18" t="str">
        <x:v>Janvier</x:v>
      </x:c>
      <x:c r="D11" s="18" t="str">
        <x:v>Finance &amp; Comptabilité</x:v>
      </x:c>
      <x:c r="E11" s="18" t="str">
        <x:v>Personnel</x:v>
      </x:c>
      <x:c r="F11" s="26" t="n">
        <x:v>59200</x:v>
      </x:c>
      <x:c r="G11" s="26" t="n">
        <x:v>53600</x:v>
      </x:c>
      <x:c r="H11" s="22" t="n">
        <x:f>G11-F11</x:f>
        <x:v>-5600</x:v>
      </x:c>
      <x:c r="I11" s="24" t="n">
        <x:f>IFERROR(H11/F11,0)</x:f>
        <x:v>-0.0945945945945946</x:v>
      </x:c>
      <x:c r="J11" t="str">
        <x:f>IF(H11&gt;F11*(1+HYPOTHESES!$B$8),"ALERTE",IF(H11&gt;F11,"SURVEILLANCE","MAÎTRISÉ"))</x:f>
        <x:v>MAÎTRISÉ</x:v>
      </x:c>
    </x:row>
    <x:row r="12">
      <x:c r="A12" s="18" t="n">
        <x:v>2026</x:v>
      </x:c>
      <x:c r="B12" s="18" t="n">
        <x:v>1</x:v>
      </x:c>
      <x:c r="C12" s="18" t="str">
        <x:v>Janvier</x:v>
      </x:c>
      <x:c r="D12" s="18" t="str">
        <x:v>Finance &amp; Comptabilité</x:v>
      </x:c>
      <x:c r="E12" s="18" t="str">
        <x:v>Prestations externes</x:v>
      </x:c>
      <x:c r="F12" s="26" t="n">
        <x:v>7900</x:v>
      </x:c>
      <x:c r="G12" s="26" t="n">
        <x:v>7300</x:v>
      </x:c>
      <x:c r="H12" s="22" t="n">
        <x:f>G12-F12</x:f>
        <x:v>-600</x:v>
      </x:c>
      <x:c r="I12" s="24" t="n">
        <x:f>IFERROR(H12/F12,0)</x:f>
        <x:v>-0.0759493670886076</x:v>
      </x:c>
      <x:c r="J12" t="str">
        <x:f>IF(H12&gt;F12*(1+HYPOTHESES!$B$8),"ALERTE",IF(H12&gt;F12,"SURVEILLANCE","MAÎTRISÉ"))</x:f>
        <x:v>MAÎTRISÉ</x:v>
      </x:c>
    </x:row>
    <x:row r="13">
      <x:c r="A13" s="18" t="n">
        <x:v>2026</x:v>
      </x:c>
      <x:c r="B13" s="18" t="n">
        <x:v>1</x:v>
      </x:c>
      <x:c r="C13" s="18" t="str">
        <x:v>Janvier</x:v>
      </x:c>
      <x:c r="D13" s="18" t="str">
        <x:v>Finance &amp; Comptabilité</x:v>
      </x:c>
      <x:c r="E13" s="18" t="str">
        <x:v>Déplacements</x:v>
      </x:c>
      <x:c r="F13" s="26" t="n">
        <x:v>2800</x:v>
      </x:c>
      <x:c r="G13" s="26" t="n">
        <x:v>2700</x:v>
      </x:c>
      <x:c r="H13" s="22" t="n">
        <x:f>G13-F13</x:f>
        <x:v>-100</x:v>
      </x:c>
      <x:c r="I13" s="24" t="n">
        <x:f>IFERROR(H13/F13,0)</x:f>
        <x:v>-0.03571428571428571</x:v>
      </x:c>
      <x:c r="J13" t="str">
        <x:f>IF(H13&gt;F13*(1+HYPOTHESES!$B$8),"ALERTE",IF(H13&gt;F13,"SURVEILLANCE","MAÎTRISÉ"))</x:f>
        <x:v>MAÎTRISÉ</x:v>
      </x:c>
    </x:row>
    <x:row r="14">
      <x:c r="A14" s="18" t="n">
        <x:v>2026</x:v>
      </x:c>
      <x:c r="B14" s="18" t="n">
        <x:v>1</x:v>
      </x:c>
      <x:c r="C14" s="18" t="str">
        <x:v>Janvier</x:v>
      </x:c>
      <x:c r="D14" s="18" t="str">
        <x:v>Finance &amp; Comptabilité</x:v>
      </x:c>
      <x:c r="E14" s="18" t="str">
        <x:v>Énergie &amp; Maintenance</x:v>
      </x:c>
      <x:c r="F14" s="26" t="n">
        <x:v>2300</x:v>
      </x:c>
      <x:c r="G14" s="26" t="n">
        <x:v>2200</x:v>
      </x:c>
      <x:c r="H14" s="22" t="n">
        <x:f>G14-F14</x:f>
        <x:v>-100</x:v>
      </x:c>
      <x:c r="I14" s="24" t="n">
        <x:f>IFERROR(H14/F14,0)</x:f>
        <x:v>-0.043478260869565216</x:v>
      </x:c>
      <x:c r="J14" t="str">
        <x:f>IF(H14&gt;F14*(1+HYPOTHESES!$B$8),"ALERTE",IF(H14&gt;F14,"SURVEILLANCE","MAÎTRISÉ"))</x:f>
        <x:v>MAÎTRISÉ</x:v>
      </x:c>
    </x:row>
    <x:row r="15">
      <x:c r="A15" s="18" t="n">
        <x:v>2026</x:v>
      </x:c>
      <x:c r="B15" s="18" t="n">
        <x:v>1</x:v>
      </x:c>
      <x:c r="C15" s="18" t="str">
        <x:v>Janvier</x:v>
      </x:c>
      <x:c r="D15" s="18" t="str">
        <x:v>Finance &amp; Comptabilité</x:v>
      </x:c>
      <x:c r="E15" s="18" t="str">
        <x:v>Logiciels &amp; Autres</x:v>
      </x:c>
      <x:c r="F15" s="26" t="n">
        <x:v>5200</x:v>
      </x:c>
      <x:c r="G15" s="26" t="n">
        <x:v>5100</x:v>
      </x:c>
      <x:c r="H15" s="22" t="n">
        <x:f>G15-F15</x:f>
        <x:v>-100</x:v>
      </x:c>
      <x:c r="I15" s="24" t="n">
        <x:f>IFERROR(H15/F15,0)</x:f>
        <x:v>-0.019230769230769232</x:v>
      </x:c>
      <x:c r="J15" t="str">
        <x:f>IF(H15&gt;F15*(1+HYPOTHESES!$B$8),"ALERTE",IF(H15&gt;F15,"SURVEILLANCE","MAÎTRISÉ"))</x:f>
        <x:v>MAÎTRISÉ</x:v>
      </x:c>
    </x:row>
    <x:row r="16">
      <x:c r="A16" s="18" t="n">
        <x:v>2026</x:v>
      </x:c>
      <x:c r="B16" s="18" t="n">
        <x:v>1</x:v>
      </x:c>
      <x:c r="C16" s="18" t="str">
        <x:v>Janvier</x:v>
      </x:c>
      <x:c r="D16" s="18" t="str">
        <x:v>Commercial &amp; Marketing</x:v>
      </x:c>
      <x:c r="E16" s="18" t="str">
        <x:v>Personnel</x:v>
      </x:c>
      <x:c r="F16" s="26" t="n">
        <x:v>106700</x:v>
      </x:c>
      <x:c r="G16" s="26" t="n">
        <x:v>110600</x:v>
      </x:c>
      <x:c r="H16" s="22" t="n">
        <x:f>G16-F16</x:f>
        <x:v>3900</x:v>
      </x:c>
      <x:c r="I16" s="24" t="n">
        <x:f>IFERROR(H16/F16,0)</x:f>
        <x:v>0.03655107778819119</x:v>
      </x:c>
      <x:c r="J16" t="str">
        <x:f>IF(H16&gt;F16*(1+HYPOTHESES!$B$8),"ALERTE",IF(H16&gt;F16,"SURVEILLANCE","MAÎTRISÉ"))</x:f>
        <x:v>MAÎTRISÉ</x:v>
      </x:c>
    </x:row>
    <x:row r="17">
      <x:c r="A17" s="18" t="n">
        <x:v>2026</x:v>
      </x:c>
      <x:c r="B17" s="18" t="n">
        <x:v>1</x:v>
      </x:c>
      <x:c r="C17" s="18" t="str">
        <x:v>Janvier</x:v>
      </x:c>
      <x:c r="D17" s="18" t="str">
        <x:v>Commercial &amp; Marketing</x:v>
      </x:c>
      <x:c r="E17" s="18" t="str">
        <x:v>Prestations externes</x:v>
      </x:c>
      <x:c r="F17" s="26" t="n">
        <x:v>28300</x:v>
      </x:c>
      <x:c r="G17" s="26" t="n">
        <x:v>25700</x:v>
      </x:c>
      <x:c r="H17" s="22" t="n">
        <x:f>G17-F17</x:f>
        <x:v>-2600</x:v>
      </x:c>
      <x:c r="I17" s="24" t="n">
        <x:f>IFERROR(H17/F17,0)</x:f>
        <x:v>-0.09187279151943463</x:v>
      </x:c>
      <x:c r="J17" t="str">
        <x:f>IF(H17&gt;F17*(1+HYPOTHESES!$B$8),"ALERTE",IF(H17&gt;F17,"SURVEILLANCE","MAÎTRISÉ"))</x:f>
        <x:v>MAÎTRISÉ</x:v>
      </x:c>
    </x:row>
    <x:row r="18">
      <x:c r="A18" s="18" t="n">
        <x:v>2026</x:v>
      </x:c>
      <x:c r="B18" s="18" t="n">
        <x:v>1</x:v>
      </x:c>
      <x:c r="C18" s="18" t="str">
        <x:v>Janvier</x:v>
      </x:c>
      <x:c r="D18" s="18" t="str">
        <x:v>Commercial &amp; Marketing</x:v>
      </x:c>
      <x:c r="E18" s="18" t="str">
        <x:v>Déplacements</x:v>
      </x:c>
      <x:c r="F18" s="26" t="n">
        <x:v>18300</x:v>
      </x:c>
      <x:c r="G18" s="26" t="n">
        <x:v>19900</x:v>
      </x:c>
      <x:c r="H18" s="22" t="n">
        <x:f>G18-F18</x:f>
        <x:v>1600</x:v>
      </x:c>
      <x:c r="I18" s="24" t="n">
        <x:f>IFERROR(H18/F18,0)</x:f>
        <x:v>0.08743169398907104</x:v>
      </x:c>
      <x:c r="J18" t="str">
        <x:f>IF(H18&gt;F18*(1+HYPOTHESES!$B$8),"ALERTE",IF(H18&gt;F18,"SURVEILLANCE","MAÎTRISÉ"))</x:f>
        <x:v>MAÎTRISÉ</x:v>
      </x:c>
    </x:row>
    <x:row r="19">
      <x:c r="A19" s="18" t="n">
        <x:v>2026</x:v>
      </x:c>
      <x:c r="B19" s="18" t="n">
        <x:v>1</x:v>
      </x:c>
      <x:c r="C19" s="18" t="str">
        <x:v>Janvier</x:v>
      </x:c>
      <x:c r="D19" s="18" t="str">
        <x:v>Commercial &amp; Marketing</x:v>
      </x:c>
      <x:c r="E19" s="18" t="str">
        <x:v>Énergie &amp; Maintenance</x:v>
      </x:c>
      <x:c r="F19" s="26" t="n">
        <x:v>3500</x:v>
      </x:c>
      <x:c r="G19" s="26" t="n">
        <x:v>3600</x:v>
      </x:c>
      <x:c r="H19" s="22" t="n">
        <x:f>G19-F19</x:f>
        <x:v>100</x:v>
      </x:c>
      <x:c r="I19" s="24" t="n">
        <x:f>IFERROR(H19/F19,0)</x:f>
        <x:v>0.02857142857142857</x:v>
      </x:c>
      <x:c r="J19" t="str">
        <x:f>IF(H19&gt;F19*(1+HYPOTHESES!$B$8),"ALERTE",IF(H19&gt;F19,"SURVEILLANCE","MAÎTRISÉ"))</x:f>
        <x:v>MAÎTRISÉ</x:v>
      </x:c>
    </x:row>
    <x:row r="20">
      <x:c r="A20" s="18" t="n">
        <x:v>2026</x:v>
      </x:c>
      <x:c r="B20" s="18" t="n">
        <x:v>1</x:v>
      </x:c>
      <x:c r="C20" s="18" t="str">
        <x:v>Janvier</x:v>
      </x:c>
      <x:c r="D20" s="18" t="str">
        <x:v>Commercial &amp; Marketing</x:v>
      </x:c>
      <x:c r="E20" s="18" t="str">
        <x:v>Logiciels &amp; Autres</x:v>
      </x:c>
      <x:c r="F20" s="26" t="n">
        <x:v>9800</x:v>
      </x:c>
      <x:c r="G20" s="26" t="n">
        <x:v>9300</x:v>
      </x:c>
      <x:c r="H20" s="22" t="n">
        <x:f>G20-F20</x:f>
        <x:v>-500</x:v>
      </x:c>
      <x:c r="I20" s="24" t="n">
        <x:f>IFERROR(H20/F20,0)</x:f>
        <x:v>-0.05102040816326531</x:v>
      </x:c>
      <x:c r="J20" t="str">
        <x:f>IF(H20&gt;F20*(1+HYPOTHESES!$B$8),"ALERTE",IF(H20&gt;F20,"SURVEILLANCE","MAÎTRISÉ"))</x:f>
        <x:v>MAÎTRISÉ</x:v>
      </x:c>
    </x:row>
    <x:row r="21">
      <x:c r="A21" s="18" t="n">
        <x:v>2026</x:v>
      </x:c>
      <x:c r="B21" s="18" t="n">
        <x:v>1</x:v>
      </x:c>
      <x:c r="C21" s="18" t="str">
        <x:v>Janvier</x:v>
      </x:c>
      <x:c r="D21" s="18" t="str">
        <x:v>Production</x:v>
      </x:c>
      <x:c r="E21" s="18" t="str">
        <x:v>Personnel</x:v>
      </x:c>
      <x:c r="F21" s="26" t="n">
        <x:v>164200</x:v>
      </x:c>
      <x:c r="G21" s="26" t="n">
        <x:v>152100</x:v>
      </x:c>
      <x:c r="H21" s="22" t="n">
        <x:f>G21-F21</x:f>
        <x:v>-12100</x:v>
      </x:c>
      <x:c r="I21" s="24" t="n">
        <x:f>IFERROR(H21/F21,0)</x:f>
        <x:v>-0.07369062119366626</x:v>
      </x:c>
      <x:c r="J21" t="str">
        <x:f>IF(H21&gt;F21*(1+HYPOTHESES!$B$8),"ALERTE",IF(H21&gt;F21,"SURVEILLANCE","MAÎTRISÉ"))</x:f>
        <x:v>MAÎTRISÉ</x:v>
      </x:c>
    </x:row>
    <x:row r="22">
      <x:c r="A22" s="18" t="n">
        <x:v>2026</x:v>
      </x:c>
      <x:c r="B22" s="18" t="n">
        <x:v>1</x:v>
      </x:c>
      <x:c r="C22" s="18" t="str">
        <x:v>Janvier</x:v>
      </x:c>
      <x:c r="D22" s="18" t="str">
        <x:v>Production</x:v>
      </x:c>
      <x:c r="E22" s="18" t="str">
        <x:v>Prestations externes</x:v>
      </x:c>
      <x:c r="F22" s="26" t="n">
        <x:v>56700</x:v>
      </x:c>
      <x:c r="G22" s="26" t="n">
        <x:v>59600</x:v>
      </x:c>
      <x:c r="H22" s="22" t="n">
        <x:f>G22-F22</x:f>
        <x:v>2900</x:v>
      </x:c>
      <x:c r="I22" s="24" t="n">
        <x:f>IFERROR(H22/F22,0)</x:f>
        <x:v>0.05114638447971781</x:v>
      </x:c>
      <x:c r="J22" t="str">
        <x:f>IF(H22&gt;F22*(1+HYPOTHESES!$B$8),"ALERTE",IF(H22&gt;F22,"SURVEILLANCE","MAÎTRISÉ"))</x:f>
        <x:v>MAÎTRISÉ</x:v>
      </x:c>
    </x:row>
    <x:row r="23">
      <x:c r="A23" s="18" t="n">
        <x:v>2026</x:v>
      </x:c>
      <x:c r="B23" s="18" t="n">
        <x:v>1</x:v>
      </x:c>
      <x:c r="C23" s="18" t="str">
        <x:v>Janvier</x:v>
      </x:c>
      <x:c r="D23" s="18" t="str">
        <x:v>Production</x:v>
      </x:c>
      <x:c r="E23" s="18" t="str">
        <x:v>Déplacements</x:v>
      </x:c>
      <x:c r="F23" s="26" t="n">
        <x:v>7100</x:v>
      </x:c>
      <x:c r="G23" s="26" t="n">
        <x:v>7500</x:v>
      </x:c>
      <x:c r="H23" s="22" t="n">
        <x:f>G23-F23</x:f>
        <x:v>400</x:v>
      </x:c>
      <x:c r="I23" s="24" t="n">
        <x:f>IFERROR(H23/F23,0)</x:f>
        <x:v>0.056338028169014086</x:v>
      </x:c>
      <x:c r="J23" t="str">
        <x:f>IF(H23&gt;F23*(1+HYPOTHESES!$B$8),"ALERTE",IF(H23&gt;F23,"SURVEILLANCE","MAÎTRISÉ"))</x:f>
        <x:v>MAÎTRISÉ</x:v>
      </x:c>
    </x:row>
    <x:row r="24">
      <x:c r="A24" s="18" t="n">
        <x:v>2026</x:v>
      </x:c>
      <x:c r="B24" s="18" t="n">
        <x:v>1</x:v>
      </x:c>
      <x:c r="C24" s="18" t="str">
        <x:v>Janvier</x:v>
      </x:c>
      <x:c r="D24" s="18" t="str">
        <x:v>Production</x:v>
      </x:c>
      <x:c r="E24" s="18" t="str">
        <x:v>Énergie &amp; Maintenance</x:v>
      </x:c>
      <x:c r="F24" s="26" t="n">
        <x:v>45000</x:v>
      </x:c>
      <x:c r="G24" s="26" t="n">
        <x:v>48800</x:v>
      </x:c>
      <x:c r="H24" s="22" t="n">
        <x:f>G24-F24</x:f>
        <x:v>3800</x:v>
      </x:c>
      <x:c r="I24" s="24" t="n">
        <x:f>IFERROR(H24/F24,0)</x:f>
        <x:v>0.08444444444444445</x:v>
      </x:c>
      <x:c r="J24" t="str">
        <x:f>IF(H24&gt;F24*(1+HYPOTHESES!$B$8),"ALERTE",IF(H24&gt;F24,"SURVEILLANCE","MAÎTRISÉ"))</x:f>
        <x:v>MAÎTRISÉ</x:v>
      </x:c>
    </x:row>
    <x:row r="25">
      <x:c r="A25" s="18" t="n">
        <x:v>2026</x:v>
      </x:c>
      <x:c r="B25" s="18" t="n">
        <x:v>1</x:v>
      </x:c>
      <x:c r="C25" s="18" t="str">
        <x:v>Janvier</x:v>
      </x:c>
      <x:c r="D25" s="18" t="str">
        <x:v>Production</x:v>
      </x:c>
      <x:c r="E25" s="18" t="str">
        <x:v>Logiciels &amp; Autres</x:v>
      </x:c>
      <x:c r="F25" s="26" t="n">
        <x:v>5500</x:v>
      </x:c>
      <x:c r="G25" s="26" t="n">
        <x:v>5600</x:v>
      </x:c>
      <x:c r="H25" s="22" t="n">
        <x:f>G25-F25</x:f>
        <x:v>100</x:v>
      </x:c>
      <x:c r="I25" s="24" t="n">
        <x:f>IFERROR(H25/F25,0)</x:f>
        <x:v>0.01818181818181818</x:v>
      </x:c>
      <x:c r="J25" t="str">
        <x:f>IF(H25&gt;F25*(1+HYPOTHESES!$B$8),"ALERTE",IF(H25&gt;F25,"SURVEILLANCE","MAÎTRISÉ"))</x:f>
        <x:v>MAÎTRISÉ</x:v>
      </x:c>
    </x:row>
    <x:row r="26">
      <x:c r="A26" s="18" t="n">
        <x:v>2026</x:v>
      </x:c>
      <x:c r="B26" s="18" t="n">
        <x:v>1</x:v>
      </x:c>
      <x:c r="C26" s="18" t="str">
        <x:v>Janvier</x:v>
      </x:c>
      <x:c r="D26" s="18" t="str">
        <x:v>Logistique</x:v>
      </x:c>
      <x:c r="E26" s="18" t="str">
        <x:v>Personnel</x:v>
      </x:c>
      <x:c r="F26" s="26" t="n">
        <x:v>65000</x:v>
      </x:c>
      <x:c r="G26" s="26" t="n">
        <x:v>60500</x:v>
      </x:c>
      <x:c r="H26" s="22" t="n">
        <x:f>G26-F26</x:f>
        <x:v>-4500</x:v>
      </x:c>
      <x:c r="I26" s="24" t="n">
        <x:f>IFERROR(H26/F26,0)</x:f>
        <x:v>-0.06923076923076923</x:v>
      </x:c>
      <x:c r="J26" t="str">
        <x:f>IF(H26&gt;F26*(1+HYPOTHESES!$B$8),"ALERTE",IF(H26&gt;F26,"SURVEILLANCE","MAÎTRISÉ"))</x:f>
        <x:v>MAÎTRISÉ</x:v>
      </x:c>
    </x:row>
    <x:row r="27">
      <x:c r="A27" s="18" t="n">
        <x:v>2026</x:v>
      </x:c>
      <x:c r="B27" s="18" t="n">
        <x:v>1</x:v>
      </x:c>
      <x:c r="C27" s="18" t="str">
        <x:v>Janvier</x:v>
      </x:c>
      <x:c r="D27" s="18" t="str">
        <x:v>Logistique</x:v>
      </x:c>
      <x:c r="E27" s="18" t="str">
        <x:v>Prestations externes</x:v>
      </x:c>
      <x:c r="F27" s="26" t="n">
        <x:v>38300</x:v>
      </x:c>
      <x:c r="G27" s="26" t="n">
        <x:v>40500</x:v>
      </x:c>
      <x:c r="H27" s="22" t="n">
        <x:f>G27-F27</x:f>
        <x:v>2200</x:v>
      </x:c>
      <x:c r="I27" s="24" t="n">
        <x:f>IFERROR(H27/F27,0)</x:f>
        <x:v>0.057441253263707574</x:v>
      </x:c>
      <x:c r="J27" t="str">
        <x:f>IF(H27&gt;F27*(1+HYPOTHESES!$B$8),"ALERTE",IF(H27&gt;F27,"SURVEILLANCE","MAÎTRISÉ"))</x:f>
        <x:v>MAÎTRISÉ</x:v>
      </x:c>
    </x:row>
    <x:row r="28">
      <x:c r="A28" s="18" t="n">
        <x:v>2026</x:v>
      </x:c>
      <x:c r="B28" s="18" t="n">
        <x:v>1</x:v>
      </x:c>
      <x:c r="C28" s="18" t="str">
        <x:v>Janvier</x:v>
      </x:c>
      <x:c r="D28" s="18" t="str">
        <x:v>Logistique</x:v>
      </x:c>
      <x:c r="E28" s="18" t="str">
        <x:v>Déplacements</x:v>
      </x:c>
      <x:c r="F28" s="26" t="n">
        <x:v>8000</x:v>
      </x:c>
      <x:c r="G28" s="26" t="n">
        <x:v>8500</x:v>
      </x:c>
      <x:c r="H28" s="22" t="n">
        <x:f>G28-F28</x:f>
        <x:v>500</x:v>
      </x:c>
      <x:c r="I28" s="24" t="n">
        <x:f>IFERROR(H28/F28,0)</x:f>
        <x:v>0.0625</x:v>
      </x:c>
      <x:c r="J28" t="str">
        <x:f>IF(H28&gt;F28*(1+HYPOTHESES!$B$8),"ALERTE",IF(H28&gt;F28,"SURVEILLANCE","MAÎTRISÉ"))</x:f>
        <x:v>MAÎTRISÉ</x:v>
      </x:c>
    </x:row>
    <x:row r="29">
      <x:c r="A29" s="18" t="n">
        <x:v>2026</x:v>
      </x:c>
      <x:c r="B29" s="18" t="n">
        <x:v>1</x:v>
      </x:c>
      <x:c r="C29" s="18" t="str">
        <x:v>Janvier</x:v>
      </x:c>
      <x:c r="D29" s="18" t="str">
        <x:v>Logistique</x:v>
      </x:c>
      <x:c r="E29" s="18" t="str">
        <x:v>Énergie &amp; Maintenance</x:v>
      </x:c>
      <x:c r="F29" s="26" t="n">
        <x:v>17900</x:v>
      </x:c>
      <x:c r="G29" s="26" t="n">
        <x:v>18300</x:v>
      </x:c>
      <x:c r="H29" s="22" t="n">
        <x:f>G29-F29</x:f>
        <x:v>400</x:v>
      </x:c>
      <x:c r="I29" s="24" t="n">
        <x:f>IFERROR(H29/F29,0)</x:f>
        <x:v>0.0223463687150838</x:v>
      </x:c>
      <x:c r="J29" t="str">
        <x:f>IF(H29&gt;F29*(1+HYPOTHESES!$B$8),"ALERTE",IF(H29&gt;F29,"SURVEILLANCE","MAÎTRISÉ"))</x:f>
        <x:v>MAÎTRISÉ</x:v>
      </x:c>
    </x:row>
    <x:row r="30">
      <x:c r="A30" s="18" t="n">
        <x:v>2026</x:v>
      </x:c>
      <x:c r="B30" s="18" t="n">
        <x:v>1</x:v>
      </x:c>
      <x:c r="C30" s="18" t="str">
        <x:v>Janvier</x:v>
      </x:c>
      <x:c r="D30" s="18" t="str">
        <x:v>Logistique</x:v>
      </x:c>
      <x:c r="E30" s="18" t="str">
        <x:v>Logiciels &amp; Autres</x:v>
      </x:c>
      <x:c r="F30" s="26" t="n">
        <x:v>3200</x:v>
      </x:c>
      <x:c r="G30" s="26" t="n">
        <x:v>3500</x:v>
      </x:c>
      <x:c r="H30" s="22" t="n">
        <x:f>G30-F30</x:f>
        <x:v>300</x:v>
      </x:c>
      <x:c r="I30" s="24" t="n">
        <x:f>IFERROR(H30/F30,0)</x:f>
        <x:v>0.09375</x:v>
      </x:c>
      <x:c r="J30" t="str">
        <x:f>IF(H30&gt;F30*(1+HYPOTHESES!$B$8),"ALERTE",IF(H30&gt;F30,"SURVEILLANCE","MAÎTRISÉ"))</x:f>
        <x:v>MAÎTRISÉ</x:v>
      </x:c>
    </x:row>
    <x:row r="31">
      <x:c r="A31" s="18" t="n">
        <x:v>2026</x:v>
      </x:c>
      <x:c r="B31" s="18" t="n">
        <x:v>1</x:v>
      </x:c>
      <x:c r="C31" s="18" t="str">
        <x:v>Janvier</x:v>
      </x:c>
      <x:c r="D31" s="18" t="str">
        <x:v>Systèmes d’information</x:v>
      </x:c>
      <x:c r="E31" s="18" t="str">
        <x:v>Personnel</x:v>
      </x:c>
      <x:c r="F31" s="26" t="n">
        <x:v>76700</x:v>
      </x:c>
      <x:c r="G31" s="26" t="n">
        <x:v>73600</x:v>
      </x:c>
      <x:c r="H31" s="22" t="n">
        <x:f>G31-F31</x:f>
        <x:v>-3100</x:v>
      </x:c>
      <x:c r="I31" s="24" t="n">
        <x:f>IFERROR(H31/F31,0)</x:f>
        <x:v>-0.04041720990873533</x:v>
      </x:c>
      <x:c r="J31" t="str">
        <x:f>IF(H31&gt;F31*(1+HYPOTHESES!$B$8),"ALERTE",IF(H31&gt;F31,"SURVEILLANCE","MAÎTRISÉ"))</x:f>
        <x:v>MAÎTRISÉ</x:v>
      </x:c>
    </x:row>
    <x:row r="32">
      <x:c r="A32" s="18" t="n">
        <x:v>2026</x:v>
      </x:c>
      <x:c r="B32" s="18" t="n">
        <x:v>1</x:v>
      </x:c>
      <x:c r="C32" s="18" t="str">
        <x:v>Janvier</x:v>
      </x:c>
      <x:c r="D32" s="18" t="str">
        <x:v>Systèmes d’information</x:v>
      </x:c>
      <x:c r="E32" s="18" t="str">
        <x:v>Prestations externes</x:v>
      </x:c>
      <x:c r="F32" s="26" t="n">
        <x:v>18800</x:v>
      </x:c>
      <x:c r="G32" s="26" t="n">
        <x:v>20200</x:v>
      </x:c>
      <x:c r="H32" s="22" t="n">
        <x:f>G32-F32</x:f>
        <x:v>1400</x:v>
      </x:c>
      <x:c r="I32" s="24" t="n">
        <x:f>IFERROR(H32/F32,0)</x:f>
        <x:v>0.07446808510638298</x:v>
      </x:c>
      <x:c r="J32" t="str">
        <x:f>IF(H32&gt;F32*(1+HYPOTHESES!$B$8),"ALERTE",IF(H32&gt;F32,"SURVEILLANCE","MAÎTRISÉ"))</x:f>
        <x:v>MAÎTRISÉ</x:v>
      </x:c>
    </x:row>
    <x:row r="33">
      <x:c r="A33" s="18" t="n">
        <x:v>2026</x:v>
      </x:c>
      <x:c r="B33" s="18" t="n">
        <x:v>1</x:v>
      </x:c>
      <x:c r="C33" s="18" t="str">
        <x:v>Janvier</x:v>
      </x:c>
      <x:c r="D33" s="18" t="str">
        <x:v>Systèmes d’information</x:v>
      </x:c>
      <x:c r="E33" s="18" t="str">
        <x:v>Déplacements</x:v>
      </x:c>
      <x:c r="F33" s="26" t="n">
        <x:v>2200</x:v>
      </x:c>
      <x:c r="G33" s="26" t="n">
        <x:v>2400</x:v>
      </x:c>
      <x:c r="H33" s="22" t="n">
        <x:f>G33-F33</x:f>
        <x:v>200</x:v>
      </x:c>
      <x:c r="I33" s="24" t="n">
        <x:f>IFERROR(H33/F33,0)</x:f>
        <x:v>0.09090909090909091</x:v>
      </x:c>
      <x:c r="J33" t="str">
        <x:f>IF(H33&gt;F33*(1+HYPOTHESES!$B$8),"ALERTE",IF(H33&gt;F33,"SURVEILLANCE","MAÎTRISÉ"))</x:f>
        <x:v>MAÎTRISÉ</x:v>
      </x:c>
    </x:row>
    <x:row r="34">
      <x:c r="A34" s="18" t="n">
        <x:v>2026</x:v>
      </x:c>
      <x:c r="B34" s="18" t="n">
        <x:v>1</x:v>
      </x:c>
      <x:c r="C34" s="18" t="str">
        <x:v>Janvier</x:v>
      </x:c>
      <x:c r="D34" s="18" t="str">
        <x:v>Systèmes d’information</x:v>
      </x:c>
      <x:c r="E34" s="18" t="str">
        <x:v>Énergie &amp; Maintenance</x:v>
      </x:c>
      <x:c r="F34" s="26" t="n">
        <x:v>2900</x:v>
      </x:c>
      <x:c r="G34" s="26" t="n">
        <x:v>3000</x:v>
      </x:c>
      <x:c r="H34" s="22" t="n">
        <x:f>G34-F34</x:f>
        <x:v>100</x:v>
      </x:c>
      <x:c r="I34" s="24" t="n">
        <x:f>IFERROR(H34/F34,0)</x:f>
        <x:v>0.034482758620689655</x:v>
      </x:c>
      <x:c r="J34" t="str">
        <x:f>IF(H34&gt;F34*(1+HYPOTHESES!$B$8),"ALERTE",IF(H34&gt;F34,"SURVEILLANCE","MAÎTRISÉ"))</x:f>
        <x:v>MAÎTRISÉ</x:v>
      </x:c>
    </x:row>
    <x:row r="35">
      <x:c r="A35" s="18" t="n">
        <x:v>2026</x:v>
      </x:c>
      <x:c r="B35" s="18" t="n">
        <x:v>1</x:v>
      </x:c>
      <x:c r="C35" s="18" t="str">
        <x:v>Janvier</x:v>
      </x:c>
      <x:c r="D35" s="18" t="str">
        <x:v>Systèmes d’information</x:v>
      </x:c>
      <x:c r="E35" s="18" t="str">
        <x:v>Logiciels &amp; Autres</x:v>
      </x:c>
      <x:c r="F35" s="26" t="n">
        <x:v>42500</x:v>
      </x:c>
      <x:c r="G35" s="26" t="n">
        <x:v>45400</x:v>
      </x:c>
      <x:c r="H35" s="22" t="n">
        <x:f>G35-F35</x:f>
        <x:v>2900</x:v>
      </x:c>
      <x:c r="I35" s="24" t="n">
        <x:f>IFERROR(H35/F35,0)</x:f>
        <x:v>0.06823529411764706</x:v>
      </x:c>
      <x:c r="J35" t="str">
        <x:f>IF(H35&gt;F35*(1+HYPOTHESES!$B$8),"ALERTE",IF(H35&gt;F35,"SURVEILLANCE","MAÎTRISÉ"))</x:f>
        <x:v>MAÎTRISÉ</x:v>
      </x:c>
    </x:row>
    <x:row r="36">
      <x:c r="A36" s="18" t="n">
        <x:v>2026</x:v>
      </x:c>
      <x:c r="B36" s="18" t="n">
        <x:v>2</x:v>
      </x:c>
      <x:c r="C36" s="18" t="str">
        <x:v>Février</x:v>
      </x:c>
      <x:c r="D36" s="18" t="str">
        <x:v>Direction générale</x:v>
      </x:c>
      <x:c r="E36" s="18" t="str">
        <x:v>Personnel</x:v>
      </x:c>
      <x:c r="F36" s="26" t="n">
        <x:v>83900</x:v>
      </x:c>
      <x:c r="G36" s="26" t="n">
        <x:v>80400</x:v>
      </x:c>
      <x:c r="H36" s="22" t="n">
        <x:f>G36-F36</x:f>
        <x:v>-3500</x:v>
      </x:c>
      <x:c r="I36" s="24" t="n">
        <x:f>IFERROR(H36/F36,0)</x:f>
        <x:v>-0.041716328963051254</x:v>
      </x:c>
      <x:c r="J36" t="str">
        <x:f>IF(H36&gt;F36*(1+HYPOTHESES!$B$8),"ALERTE",IF(H36&gt;F36,"SURVEILLANCE","MAÎTRISÉ"))</x:f>
        <x:v>MAÎTRISÉ</x:v>
      </x:c>
    </x:row>
    <x:row r="37">
      <x:c r="A37" s="18" t="n">
        <x:v>2026</x:v>
      </x:c>
      <x:c r="B37" s="18" t="n">
        <x:v>2</x:v>
      </x:c>
      <x:c r="C37" s="18" t="str">
        <x:v>Février</x:v>
      </x:c>
      <x:c r="D37" s="18" t="str">
        <x:v>Direction générale</x:v>
      </x:c>
      <x:c r="E37" s="18" t="str">
        <x:v>Prestations externes</x:v>
      </x:c>
      <x:c r="F37" s="26" t="n">
        <x:v>41100</x:v>
      </x:c>
      <x:c r="G37" s="26" t="n">
        <x:v>41100</x:v>
      </x:c>
      <x:c r="H37" s="22" t="n">
        <x:f>G37-F37</x:f>
        <x:v>0</x:v>
      </x:c>
      <x:c r="I37" s="24" t="n">
        <x:f>IFERROR(H37/F37,0)</x:f>
        <x:v>0</x:v>
      </x:c>
      <x:c r="J37" t="str">
        <x:f>IF(H37&gt;F37*(1+HYPOTHESES!$B$8),"ALERTE",IF(H37&gt;F37,"SURVEILLANCE","MAÎTRISÉ"))</x:f>
        <x:v>MAÎTRISÉ</x:v>
      </x:c>
    </x:row>
    <x:row r="38">
      <x:c r="A38" s="18" t="n">
        <x:v>2026</x:v>
      </x:c>
      <x:c r="B38" s="18" t="n">
        <x:v>2</x:v>
      </x:c>
      <x:c r="C38" s="18" t="str">
        <x:v>Février</x:v>
      </x:c>
      <x:c r="D38" s="18" t="str">
        <x:v>Direction générale</x:v>
      </x:c>
      <x:c r="E38" s="18" t="str">
        <x:v>Déplacements</x:v>
      </x:c>
      <x:c r="F38" s="26" t="n">
        <x:v>7200</x:v>
      </x:c>
      <x:c r="G38" s="26" t="n">
        <x:v>7400</x:v>
      </x:c>
      <x:c r="H38" s="22" t="n">
        <x:f>G38-F38</x:f>
        <x:v>200</x:v>
      </x:c>
      <x:c r="I38" s="24" t="n">
        <x:f>IFERROR(H38/F38,0)</x:f>
        <x:v>0.027777777777777776</x:v>
      </x:c>
      <x:c r="J38" t="str">
        <x:f>IF(H38&gt;F38*(1+HYPOTHESES!$B$8),"ALERTE",IF(H38&gt;F38,"SURVEILLANCE","MAÎTRISÉ"))</x:f>
        <x:v>MAÎTRISÉ</x:v>
      </x:c>
    </x:row>
    <x:row r="39">
      <x:c r="A39" s="18" t="n">
        <x:v>2026</x:v>
      </x:c>
      <x:c r="B39" s="18" t="n">
        <x:v>2</x:v>
      </x:c>
      <x:c r="C39" s="18" t="str">
        <x:v>Février</x:v>
      </x:c>
      <x:c r="D39" s="18" t="str">
        <x:v>Direction générale</x:v>
      </x:c>
      <x:c r="E39" s="18" t="str">
        <x:v>Énergie &amp; Maintenance</x:v>
      </x:c>
      <x:c r="F39" s="26" t="n">
        <x:v>9000</x:v>
      </x:c>
      <x:c r="G39" s="26" t="n">
        <x:v>9200</x:v>
      </x:c>
      <x:c r="H39" s="22" t="n">
        <x:f>G39-F39</x:f>
        <x:v>200</x:v>
      </x:c>
      <x:c r="I39" s="24" t="n">
        <x:f>IFERROR(H39/F39,0)</x:f>
        <x:v>0.022222222222222223</x:v>
      </x:c>
      <x:c r="J39" t="str">
        <x:f>IF(H39&gt;F39*(1+HYPOTHESES!$B$8),"ALERTE",IF(H39&gt;F39,"SURVEILLANCE","MAÎTRISÉ"))</x:f>
        <x:v>MAÎTRISÉ</x:v>
      </x:c>
    </x:row>
    <x:row r="40">
      <x:c r="A40" s="18" t="n">
        <x:v>2026</x:v>
      </x:c>
      <x:c r="B40" s="18" t="n">
        <x:v>2</x:v>
      </x:c>
      <x:c r="C40" s="18" t="str">
        <x:v>Février</x:v>
      </x:c>
      <x:c r="D40" s="18" t="str">
        <x:v>Direction générale</x:v>
      </x:c>
      <x:c r="E40" s="18" t="str">
        <x:v>Logiciels &amp; Autres</x:v>
      </x:c>
      <x:c r="F40" s="26" t="n">
        <x:v>6100</x:v>
      </x:c>
      <x:c r="G40" s="26" t="n">
        <x:v>6100</x:v>
      </x:c>
      <x:c r="H40" s="22" t="n">
        <x:f>G40-F40</x:f>
        <x:v>0</x:v>
      </x:c>
      <x:c r="I40" s="24" t="n">
        <x:f>IFERROR(H40/F40,0)</x:f>
        <x:v>0</x:v>
      </x:c>
      <x:c r="J40" t="str">
        <x:f>IF(H40&gt;F40*(1+HYPOTHESES!$B$8),"ALERTE",IF(H40&gt;F40,"SURVEILLANCE","MAÎTRISÉ"))</x:f>
        <x:v>MAÎTRISÉ</x:v>
      </x:c>
    </x:row>
    <x:row r="41">
      <x:c r="A41" s="18" t="n">
        <x:v>2026</x:v>
      </x:c>
      <x:c r="B41" s="18" t="n">
        <x:v>2</x:v>
      </x:c>
      <x:c r="C41" s="18" t="str">
        <x:v>Février</x:v>
      </x:c>
      <x:c r="D41" s="18" t="str">
        <x:v>Finance &amp; Comptabilité</x:v>
      </x:c>
      <x:c r="E41" s="18" t="str">
        <x:v>Personnel</x:v>
      </x:c>
      <x:c r="F41" s="26" t="n">
        <x:v>60800</x:v>
      </x:c>
      <x:c r="G41" s="26" t="n">
        <x:v>57500</x:v>
      </x:c>
      <x:c r="H41" s="22" t="n">
        <x:f>G41-F41</x:f>
        <x:v>-3300</x:v>
      </x:c>
      <x:c r="I41" s="24" t="n">
        <x:f>IFERROR(H41/F41,0)</x:f>
        <x:v>-0.054276315789473686</x:v>
      </x:c>
      <x:c r="J41" t="str">
        <x:f>IF(H41&gt;F41*(1+HYPOTHESES!$B$8),"ALERTE",IF(H41&gt;F41,"SURVEILLANCE","MAÎTRISÉ"))</x:f>
        <x:v>MAÎTRISÉ</x:v>
      </x:c>
    </x:row>
    <x:row r="42">
      <x:c r="A42" s="18" t="n">
        <x:v>2026</x:v>
      </x:c>
      <x:c r="B42" s="18" t="n">
        <x:v>2</x:v>
      </x:c>
      <x:c r="C42" s="18" t="str">
        <x:v>Février</x:v>
      </x:c>
      <x:c r="D42" s="18" t="str">
        <x:v>Finance &amp; Comptabilité</x:v>
      </x:c>
      <x:c r="E42" s="18" t="str">
        <x:v>Prestations externes</x:v>
      </x:c>
      <x:c r="F42" s="26" t="n">
        <x:v>8100</x:v>
      </x:c>
      <x:c r="G42" s="26" t="n">
        <x:v>7300</x:v>
      </x:c>
      <x:c r="H42" s="22" t="n">
        <x:f>G42-F42</x:f>
        <x:v>-800</x:v>
      </x:c>
      <x:c r="I42" s="24" t="n">
        <x:f>IFERROR(H42/F42,0)</x:f>
        <x:v>-0.09876543209876543</x:v>
      </x:c>
      <x:c r="J42" t="str">
        <x:f>IF(H42&gt;F42*(1+HYPOTHESES!$B$8),"ALERTE",IF(H42&gt;F42,"SURVEILLANCE","MAÎTRISÉ"))</x:f>
        <x:v>MAÎTRISÉ</x:v>
      </x:c>
    </x:row>
    <x:row r="43">
      <x:c r="A43" s="18" t="n">
        <x:v>2026</x:v>
      </x:c>
      <x:c r="B43" s="18" t="n">
        <x:v>2</x:v>
      </x:c>
      <x:c r="C43" s="18" t="str">
        <x:v>Février</x:v>
      </x:c>
      <x:c r="D43" s="18" t="str">
        <x:v>Finance &amp; Comptabilité</x:v>
      </x:c>
      <x:c r="E43" s="18" t="str">
        <x:v>Déplacements</x:v>
      </x:c>
      <x:c r="F43" s="26" t="n">
        <x:v>2800</x:v>
      </x:c>
      <x:c r="G43" s="26" t="n">
        <x:v>2700</x:v>
      </x:c>
      <x:c r="H43" s="22" t="n">
        <x:f>G43-F43</x:f>
        <x:v>-100</x:v>
      </x:c>
      <x:c r="I43" s="24" t="n">
        <x:f>IFERROR(H43/F43,0)</x:f>
        <x:v>-0.03571428571428571</x:v>
      </x:c>
      <x:c r="J43" t="str">
        <x:f>IF(H43&gt;F43*(1+HYPOTHESES!$B$8),"ALERTE",IF(H43&gt;F43,"SURVEILLANCE","MAÎTRISÉ"))</x:f>
        <x:v>MAÎTRISÉ</x:v>
      </x:c>
    </x:row>
    <x:row r="44">
      <x:c r="A44" s="18" t="n">
        <x:v>2026</x:v>
      </x:c>
      <x:c r="B44" s="18" t="n">
        <x:v>2</x:v>
      </x:c>
      <x:c r="C44" s="18" t="str">
        <x:v>Février</x:v>
      </x:c>
      <x:c r="D44" s="18" t="str">
        <x:v>Finance &amp; Comptabilité</x:v>
      </x:c>
      <x:c r="E44" s="18" t="str">
        <x:v>Énergie &amp; Maintenance</x:v>
      </x:c>
      <x:c r="F44" s="26" t="n">
        <x:v>2400</x:v>
      </x:c>
      <x:c r="G44" s="26" t="n">
        <x:v>2500</x:v>
      </x:c>
      <x:c r="H44" s="22" t="n">
        <x:f>G44-F44</x:f>
        <x:v>100</x:v>
      </x:c>
      <x:c r="I44" s="24" t="n">
        <x:f>IFERROR(H44/F44,0)</x:f>
        <x:v>0.041666666666666664</x:v>
      </x:c>
      <x:c r="J44" t="str">
        <x:f>IF(H44&gt;F44*(1+HYPOTHESES!$B$8),"ALERTE",IF(H44&gt;F44,"SURVEILLANCE","MAÎTRISÉ"))</x:f>
        <x:v>MAÎTRISÉ</x:v>
      </x:c>
    </x:row>
    <x:row r="45">
      <x:c r="A45" s="18" t="n">
        <x:v>2026</x:v>
      </x:c>
      <x:c r="B45" s="18" t="n">
        <x:v>2</x:v>
      </x:c>
      <x:c r="C45" s="18" t="str">
        <x:v>Février</x:v>
      </x:c>
      <x:c r="D45" s="18" t="str">
        <x:v>Finance &amp; Comptabilité</x:v>
      </x:c>
      <x:c r="E45" s="18" t="str">
        <x:v>Logiciels &amp; Autres</x:v>
      </x:c>
      <x:c r="F45" s="26" t="n">
        <x:v>5300</x:v>
      </x:c>
      <x:c r="G45" s="26" t="n">
        <x:v>5600</x:v>
      </x:c>
      <x:c r="H45" s="22" t="n">
        <x:f>G45-F45</x:f>
        <x:v>300</x:v>
      </x:c>
      <x:c r="I45" s="24" t="n">
        <x:f>IFERROR(H45/F45,0)</x:f>
        <x:v>0.05660377358490566</x:v>
      </x:c>
      <x:c r="J45" t="str">
        <x:f>IF(H45&gt;F45*(1+HYPOTHESES!$B$8),"ALERTE",IF(H45&gt;F45,"SURVEILLANCE","MAÎTRISÉ"))</x:f>
        <x:v>MAÎTRISÉ</x:v>
      </x:c>
    </x:row>
    <x:row r="46">
      <x:c r="A46" s="18" t="n">
        <x:v>2026</x:v>
      </x:c>
      <x:c r="B46" s="18" t="n">
        <x:v>2</x:v>
      </x:c>
      <x:c r="C46" s="18" t="str">
        <x:v>Février</x:v>
      </x:c>
      <x:c r="D46" s="18" t="str">
        <x:v>Commercial &amp; Marketing</x:v>
      </x:c>
      <x:c r="E46" s="18" t="str">
        <x:v>Personnel</x:v>
      </x:c>
      <x:c r="F46" s="26" t="n">
        <x:v>109600</x:v>
      </x:c>
      <x:c r="G46" s="26" t="n">
        <x:v>100700</x:v>
      </x:c>
      <x:c r="H46" s="22" t="n">
        <x:f>G46-F46</x:f>
        <x:v>-8900</x:v>
      </x:c>
      <x:c r="I46" s="24" t="n">
        <x:f>IFERROR(H46/F46,0)</x:f>
        <x:v>-0.0812043795620438</x:v>
      </x:c>
      <x:c r="J46" t="str">
        <x:f>IF(H46&gt;F46*(1+HYPOTHESES!$B$8),"ALERTE",IF(H46&gt;F46,"SURVEILLANCE","MAÎTRISÉ"))</x:f>
        <x:v>MAÎTRISÉ</x:v>
      </x:c>
    </x:row>
    <x:row r="47">
      <x:c r="A47" s="18" t="n">
        <x:v>2026</x:v>
      </x:c>
      <x:c r="B47" s="18" t="n">
        <x:v>2</x:v>
      </x:c>
      <x:c r="C47" s="18" t="str">
        <x:v>Février</x:v>
      </x:c>
      <x:c r="D47" s="18" t="str">
        <x:v>Commercial &amp; Marketing</x:v>
      </x:c>
      <x:c r="E47" s="18" t="str">
        <x:v>Prestations externes</x:v>
      </x:c>
      <x:c r="F47" s="26" t="n">
        <x:v>29100</x:v>
      </x:c>
      <x:c r="G47" s="26" t="n">
        <x:v>30200</x:v>
      </x:c>
      <x:c r="H47" s="22" t="n">
        <x:f>G47-F47</x:f>
        <x:v>1100</x:v>
      </x:c>
      <x:c r="I47" s="24" t="n">
        <x:f>IFERROR(H47/F47,0)</x:f>
        <x:v>0.037800687285223365</x:v>
      </x:c>
      <x:c r="J47" t="str">
        <x:f>IF(H47&gt;F47*(1+HYPOTHESES!$B$8),"ALERTE",IF(H47&gt;F47,"SURVEILLANCE","MAÎTRISÉ"))</x:f>
        <x:v>MAÎTRISÉ</x:v>
      </x:c>
    </x:row>
    <x:row r="48">
      <x:c r="A48" s="18" t="n">
        <x:v>2026</x:v>
      </x:c>
      <x:c r="B48" s="18" t="n">
        <x:v>2</x:v>
      </x:c>
      <x:c r="C48" s="18" t="str">
        <x:v>Février</x:v>
      </x:c>
      <x:c r="D48" s="18" t="str">
        <x:v>Commercial &amp; Marketing</x:v>
      </x:c>
      <x:c r="E48" s="18" t="str">
        <x:v>Déplacements</x:v>
      </x:c>
      <x:c r="F48" s="26" t="n">
        <x:v>18800</x:v>
      </x:c>
      <x:c r="G48" s="26" t="n">
        <x:v>20100</x:v>
      </x:c>
      <x:c r="H48" s="22" t="n">
        <x:f>G48-F48</x:f>
        <x:v>1300</x:v>
      </x:c>
      <x:c r="I48" s="24" t="n">
        <x:f>IFERROR(H48/F48,0)</x:f>
        <x:v>0.06914893617021277</x:v>
      </x:c>
      <x:c r="J48" t="str">
        <x:f>IF(H48&gt;F48*(1+HYPOTHESES!$B$8),"ALERTE",IF(H48&gt;F48,"SURVEILLANCE","MAÎTRISÉ"))</x:f>
        <x:v>MAÎTRISÉ</x:v>
      </x:c>
    </x:row>
    <x:row r="49">
      <x:c r="A49" s="18" t="n">
        <x:v>2026</x:v>
      </x:c>
      <x:c r="B49" s="18" t="n">
        <x:v>2</x:v>
      </x:c>
      <x:c r="C49" s="18" t="str">
        <x:v>Février</x:v>
      </x:c>
      <x:c r="D49" s="18" t="str">
        <x:v>Commercial &amp; Marketing</x:v>
      </x:c>
      <x:c r="E49" s="18" t="str">
        <x:v>Énergie &amp; Maintenance</x:v>
      </x:c>
      <x:c r="F49" s="26" t="n">
        <x:v>3600</x:v>
      </x:c>
      <x:c r="G49" s="26" t="n">
        <x:v>3800</x:v>
      </x:c>
      <x:c r="H49" s="22" t="n">
        <x:f>G49-F49</x:f>
        <x:v>200</x:v>
      </x:c>
      <x:c r="I49" s="24" t="n">
        <x:f>IFERROR(H49/F49,0)</x:f>
        <x:v>0.05555555555555555</x:v>
      </x:c>
      <x:c r="J49" t="str">
        <x:f>IF(H49&gt;F49*(1+HYPOTHESES!$B$8),"ALERTE",IF(H49&gt;F49,"SURVEILLANCE","MAÎTRISÉ"))</x:f>
        <x:v>MAÎTRISÉ</x:v>
      </x:c>
    </x:row>
    <x:row r="50">
      <x:c r="A50" s="18" t="n">
        <x:v>2026</x:v>
      </x:c>
      <x:c r="B50" s="18" t="n">
        <x:v>2</x:v>
      </x:c>
      <x:c r="C50" s="18" t="str">
        <x:v>Février</x:v>
      </x:c>
      <x:c r="D50" s="18" t="str">
        <x:v>Commercial &amp; Marketing</x:v>
      </x:c>
      <x:c r="E50" s="18" t="str">
        <x:v>Logiciels &amp; Autres</x:v>
      </x:c>
      <x:c r="F50" s="26" t="n">
        <x:v>10000</x:v>
      </x:c>
      <x:c r="G50" s="26" t="n">
        <x:v>10700</x:v>
      </x:c>
      <x:c r="H50" s="22" t="n">
        <x:f>G50-F50</x:f>
        <x:v>700</x:v>
      </x:c>
      <x:c r="I50" s="24" t="n">
        <x:f>IFERROR(H50/F50,0)</x:f>
        <x:v>0.07</x:v>
      </x:c>
      <x:c r="J50" t="str">
        <x:f>IF(H50&gt;F50*(1+HYPOTHESES!$B$8),"ALERTE",IF(H50&gt;F50,"SURVEILLANCE","MAÎTRISÉ"))</x:f>
        <x:v>MAÎTRISÉ</x:v>
      </x:c>
    </x:row>
    <x:row r="51">
      <x:c r="A51" s="18" t="n">
        <x:v>2026</x:v>
      </x:c>
      <x:c r="B51" s="18" t="n">
        <x:v>2</x:v>
      </x:c>
      <x:c r="C51" s="18" t="str">
        <x:v>Février</x:v>
      </x:c>
      <x:c r="D51" s="18" t="str">
        <x:v>Production</x:v>
      </x:c>
      <x:c r="E51" s="18" t="str">
        <x:v>Personnel</x:v>
      </x:c>
      <x:c r="F51" s="26" t="n">
        <x:v>168700</x:v>
      </x:c>
      <x:c r="G51" s="26" t="n">
        <x:v>153300</x:v>
      </x:c>
      <x:c r="H51" s="22" t="n">
        <x:f>G51-F51</x:f>
        <x:v>-15400</x:v>
      </x:c>
      <x:c r="I51" s="24" t="n">
        <x:f>IFERROR(H51/F51,0)</x:f>
        <x:v>-0.0912863070539419</x:v>
      </x:c>
      <x:c r="J51" t="str">
        <x:f>IF(H51&gt;F51*(1+HYPOTHESES!$B$8),"ALERTE",IF(H51&gt;F51,"SURVEILLANCE","MAÎTRISÉ"))</x:f>
        <x:v>MAÎTRISÉ</x:v>
      </x:c>
    </x:row>
    <x:row r="52">
      <x:c r="A52" s="18" t="n">
        <x:v>2026</x:v>
      </x:c>
      <x:c r="B52" s="18" t="n">
        <x:v>2</x:v>
      </x:c>
      <x:c r="C52" s="18" t="str">
        <x:v>Février</x:v>
      </x:c>
      <x:c r="D52" s="18" t="str">
        <x:v>Production</x:v>
      </x:c>
      <x:c r="E52" s="18" t="str">
        <x:v>Prestations externes</x:v>
      </x:c>
      <x:c r="F52" s="26" t="n">
        <x:v>58200</x:v>
      </x:c>
      <x:c r="G52" s="26" t="n">
        <x:v>60500</x:v>
      </x:c>
      <x:c r="H52" s="22" t="n">
        <x:f>G52-F52</x:f>
        <x:v>2300</x:v>
      </x:c>
      <x:c r="I52" s="24" t="n">
        <x:f>IFERROR(H52/F52,0)</x:f>
        <x:v>0.03951890034364261</x:v>
      </x:c>
      <x:c r="J52" t="str">
        <x:f>IF(H52&gt;F52*(1+HYPOTHESES!$B$8),"ALERTE",IF(H52&gt;F52,"SURVEILLANCE","MAÎTRISÉ"))</x:f>
        <x:v>MAÎTRISÉ</x:v>
      </x:c>
    </x:row>
    <x:row r="53">
      <x:c r="A53" s="18" t="n">
        <x:v>2026</x:v>
      </x:c>
      <x:c r="B53" s="18" t="n">
        <x:v>2</x:v>
      </x:c>
      <x:c r="C53" s="18" t="str">
        <x:v>Février</x:v>
      </x:c>
      <x:c r="D53" s="18" t="str">
        <x:v>Production</x:v>
      </x:c>
      <x:c r="E53" s="18" t="str">
        <x:v>Déplacements</x:v>
      </x:c>
      <x:c r="F53" s="26" t="n">
        <x:v>7300</x:v>
      </x:c>
      <x:c r="G53" s="26" t="n">
        <x:v>7200</x:v>
      </x:c>
      <x:c r="H53" s="22" t="n">
        <x:f>G53-F53</x:f>
        <x:v>-100</x:v>
      </x:c>
      <x:c r="I53" s="24" t="n">
        <x:f>IFERROR(H53/F53,0)</x:f>
        <x:v>-0.0136986301369863</x:v>
      </x:c>
      <x:c r="J53" t="str">
        <x:f>IF(H53&gt;F53*(1+HYPOTHESES!$B$8),"ALERTE",IF(H53&gt;F53,"SURVEILLANCE","MAÎTRISÉ"))</x:f>
        <x:v>MAÎTRISÉ</x:v>
      </x:c>
    </x:row>
    <x:row r="54">
      <x:c r="A54" s="18" t="n">
        <x:v>2026</x:v>
      </x:c>
      <x:c r="B54" s="18" t="n">
        <x:v>2</x:v>
      </x:c>
      <x:c r="C54" s="18" t="str">
        <x:v>Février</x:v>
      </x:c>
      <x:c r="D54" s="18" t="str">
        <x:v>Production</x:v>
      </x:c>
      <x:c r="E54" s="18" t="str">
        <x:v>Énergie &amp; Maintenance</x:v>
      </x:c>
      <x:c r="F54" s="26" t="n">
        <x:v>46200</x:v>
      </x:c>
      <x:c r="G54" s="26" t="n">
        <x:v>50100</x:v>
      </x:c>
      <x:c r="H54" s="22" t="n">
        <x:f>G54-F54</x:f>
        <x:v>3900</x:v>
      </x:c>
      <x:c r="I54" s="24" t="n">
        <x:f>IFERROR(H54/F54,0)</x:f>
        <x:v>0.08441558441558442</x:v>
      </x:c>
      <x:c r="J54" t="str">
        <x:f>IF(H54&gt;F54*(1+HYPOTHESES!$B$8),"ALERTE",IF(H54&gt;F54,"SURVEILLANCE","MAÎTRISÉ"))</x:f>
        <x:v>MAÎTRISÉ</x:v>
      </x:c>
    </x:row>
    <x:row r="55">
      <x:c r="A55" s="18" t="n">
        <x:v>2026</x:v>
      </x:c>
      <x:c r="B55" s="18" t="n">
        <x:v>2</x:v>
      </x:c>
      <x:c r="C55" s="18" t="str">
        <x:v>Février</x:v>
      </x:c>
      <x:c r="D55" s="18" t="str">
        <x:v>Production</x:v>
      </x:c>
      <x:c r="E55" s="18" t="str">
        <x:v>Logiciels &amp; Autres</x:v>
      </x:c>
      <x:c r="F55" s="26" t="n">
        <x:v>5700</x:v>
      </x:c>
      <x:c r="G55" s="26" t="n">
        <x:v>5900</x:v>
      </x:c>
      <x:c r="H55" s="22" t="n">
        <x:f>G55-F55</x:f>
        <x:v>200</x:v>
      </x:c>
      <x:c r="I55" s="24" t="n">
        <x:f>IFERROR(H55/F55,0)</x:f>
        <x:v>0.03508771929824561</x:v>
      </x:c>
      <x:c r="J55" t="str">
        <x:f>IF(H55&gt;F55*(1+HYPOTHESES!$B$8),"ALERTE",IF(H55&gt;F55,"SURVEILLANCE","MAÎTRISÉ"))</x:f>
        <x:v>MAÎTRISÉ</x:v>
      </x:c>
    </x:row>
    <x:row r="56">
      <x:c r="A56" s="18" t="n">
        <x:v>2026</x:v>
      </x:c>
      <x:c r="B56" s="18" t="n">
        <x:v>2</x:v>
      </x:c>
      <x:c r="C56" s="18" t="str">
        <x:v>Février</x:v>
      </x:c>
      <x:c r="D56" s="18" t="str">
        <x:v>Logistique</x:v>
      </x:c>
      <x:c r="E56" s="18" t="str">
        <x:v>Personnel</x:v>
      </x:c>
      <x:c r="F56" s="26" t="n">
        <x:v>66800</x:v>
      </x:c>
      <x:c r="G56" s="26" t="n">
        <x:v>65200</x:v>
      </x:c>
      <x:c r="H56" s="22" t="n">
        <x:f>G56-F56</x:f>
        <x:v>-1600</x:v>
      </x:c>
      <x:c r="I56" s="24" t="n">
        <x:f>IFERROR(H56/F56,0)</x:f>
        <x:v>-0.023952095808383235</x:v>
      </x:c>
      <x:c r="J56" t="str">
        <x:f>IF(H56&gt;F56*(1+HYPOTHESES!$B$8),"ALERTE",IF(H56&gt;F56,"SURVEILLANCE","MAÎTRISÉ"))</x:f>
        <x:v>MAÎTRISÉ</x:v>
      </x:c>
    </x:row>
    <x:row r="57">
      <x:c r="A57" s="18" t="n">
        <x:v>2026</x:v>
      </x:c>
      <x:c r="B57" s="18" t="n">
        <x:v>2</x:v>
      </x:c>
      <x:c r="C57" s="18" t="str">
        <x:v>Février</x:v>
      </x:c>
      <x:c r="D57" s="18" t="str">
        <x:v>Logistique</x:v>
      </x:c>
      <x:c r="E57" s="18" t="str">
        <x:v>Prestations externes</x:v>
      </x:c>
      <x:c r="F57" s="26" t="n">
        <x:v>39400</x:v>
      </x:c>
      <x:c r="G57" s="26" t="n">
        <x:v>37500</x:v>
      </x:c>
      <x:c r="H57" s="22" t="n">
        <x:f>G57-F57</x:f>
        <x:v>-1900</x:v>
      </x:c>
      <x:c r="I57" s="24" t="n">
        <x:f>IFERROR(H57/F57,0)</x:f>
        <x:v>-0.048223350253807105</x:v>
      </x:c>
      <x:c r="J57" t="str">
        <x:f>IF(H57&gt;F57*(1+HYPOTHESES!$B$8),"ALERTE",IF(H57&gt;F57,"SURVEILLANCE","MAÎTRISÉ"))</x:f>
        <x:v>MAÎTRISÉ</x:v>
      </x:c>
    </x:row>
    <x:row r="58">
      <x:c r="A58" s="18" t="n">
        <x:v>2026</x:v>
      </x:c>
      <x:c r="B58" s="18" t="n">
        <x:v>2</x:v>
      </x:c>
      <x:c r="C58" s="18" t="str">
        <x:v>Février</x:v>
      </x:c>
      <x:c r="D58" s="18" t="str">
        <x:v>Logistique</x:v>
      </x:c>
      <x:c r="E58" s="18" t="str">
        <x:v>Déplacements</x:v>
      </x:c>
      <x:c r="F58" s="26" t="n">
        <x:v>8200</x:v>
      </x:c>
      <x:c r="G58" s="26" t="n">
        <x:v>7800</x:v>
      </x:c>
      <x:c r="H58" s="22" t="n">
        <x:f>G58-F58</x:f>
        <x:v>-400</x:v>
      </x:c>
      <x:c r="I58" s="24" t="n">
        <x:f>IFERROR(H58/F58,0)</x:f>
        <x:v>-0.04878048780487805</x:v>
      </x:c>
      <x:c r="J58" t="str">
        <x:f>IF(H58&gt;F58*(1+HYPOTHESES!$B$8),"ALERTE",IF(H58&gt;F58,"SURVEILLANCE","MAÎTRISÉ"))</x:f>
        <x:v>MAÎTRISÉ</x:v>
      </x:c>
    </x:row>
    <x:row r="59">
      <x:c r="A59" s="18" t="n">
        <x:v>2026</x:v>
      </x:c>
      <x:c r="B59" s="18" t="n">
        <x:v>2</x:v>
      </x:c>
      <x:c r="C59" s="18" t="str">
        <x:v>Février</x:v>
      </x:c>
      <x:c r="D59" s="18" t="str">
        <x:v>Logistique</x:v>
      </x:c>
      <x:c r="E59" s="18" t="str">
        <x:v>Énergie &amp; Maintenance</x:v>
      </x:c>
      <x:c r="F59" s="26" t="n">
        <x:v>18400</x:v>
      </x:c>
      <x:c r="G59" s="26" t="n">
        <x:v>17600</x:v>
      </x:c>
      <x:c r="H59" s="22" t="n">
        <x:f>G59-F59</x:f>
        <x:v>-800</x:v>
      </x:c>
      <x:c r="I59" s="24" t="n">
        <x:f>IFERROR(H59/F59,0)</x:f>
        <x:v>-0.043478260869565216</x:v>
      </x:c>
      <x:c r="J59" t="str">
        <x:f>IF(H59&gt;F59*(1+HYPOTHESES!$B$8),"ALERTE",IF(H59&gt;F59,"SURVEILLANCE","MAÎTRISÉ"))</x:f>
        <x:v>MAÎTRISÉ</x:v>
      </x:c>
    </x:row>
    <x:row r="60">
      <x:c r="A60" s="18" t="n">
        <x:v>2026</x:v>
      </x:c>
      <x:c r="B60" s="18" t="n">
        <x:v>2</x:v>
      </x:c>
      <x:c r="C60" s="18" t="str">
        <x:v>Février</x:v>
      </x:c>
      <x:c r="D60" s="18" t="str">
        <x:v>Logistique</x:v>
      </x:c>
      <x:c r="E60" s="18" t="str">
        <x:v>Logiciels &amp; Autres</x:v>
      </x:c>
      <x:c r="F60" s="26" t="n">
        <x:v>3300</x:v>
      </x:c>
      <x:c r="G60" s="26" t="n">
        <x:v>3700</x:v>
      </x:c>
      <x:c r="H60" s="22" t="n">
        <x:f>G60-F60</x:f>
        <x:v>400</x:v>
      </x:c>
      <x:c r="I60" s="24" t="n">
        <x:f>IFERROR(H60/F60,0)</x:f>
        <x:v>0.12121212121212122</x:v>
      </x:c>
      <x:c r="J60" t="str">
        <x:f>IF(H60&gt;F60*(1+HYPOTHESES!$B$8),"ALERTE",IF(H60&gt;F60,"SURVEILLANCE","MAÎTRISÉ"))</x:f>
        <x:v>MAÎTRISÉ</x:v>
      </x:c>
    </x:row>
    <x:row r="61">
      <x:c r="A61" s="18" t="n">
        <x:v>2026</x:v>
      </x:c>
      <x:c r="B61" s="18" t="n">
        <x:v>2</x:v>
      </x:c>
      <x:c r="C61" s="18" t="str">
        <x:v>Février</x:v>
      </x:c>
      <x:c r="D61" s="18" t="str">
        <x:v>Systèmes d’information</x:v>
      </x:c>
      <x:c r="E61" s="18" t="str">
        <x:v>Personnel</x:v>
      </x:c>
      <x:c r="F61" s="26" t="n">
        <x:v>78800</x:v>
      </x:c>
      <x:c r="G61" s="26" t="n">
        <x:v>79700</x:v>
      </x:c>
      <x:c r="H61" s="22" t="n">
        <x:f>G61-F61</x:f>
        <x:v>900</x:v>
      </x:c>
      <x:c r="I61" s="24" t="n">
        <x:f>IFERROR(H61/F61,0)</x:f>
        <x:v>0.011421319796954314</x:v>
      </x:c>
      <x:c r="J61" t="str">
        <x:f>IF(H61&gt;F61*(1+HYPOTHESES!$B$8),"ALERTE",IF(H61&gt;F61,"SURVEILLANCE","MAÎTRISÉ"))</x:f>
        <x:v>MAÎTRISÉ</x:v>
      </x:c>
    </x:row>
    <x:row r="62">
      <x:c r="A62" s="18" t="n">
        <x:v>2026</x:v>
      </x:c>
      <x:c r="B62" s="18" t="n">
        <x:v>2</x:v>
      </x:c>
      <x:c r="C62" s="18" t="str">
        <x:v>Février</x:v>
      </x:c>
      <x:c r="D62" s="18" t="str">
        <x:v>Systèmes d’information</x:v>
      </x:c>
      <x:c r="E62" s="18" t="str">
        <x:v>Prestations externes</x:v>
      </x:c>
      <x:c r="F62" s="26" t="n">
        <x:v>19300</x:v>
      </x:c>
      <x:c r="G62" s="26" t="n">
        <x:v>20700</x:v>
      </x:c>
      <x:c r="H62" s="22" t="n">
        <x:f>G62-F62</x:f>
        <x:v>1400</x:v>
      </x:c>
      <x:c r="I62" s="24" t="n">
        <x:f>IFERROR(H62/F62,0)</x:f>
        <x:v>0.07253886010362694</x:v>
      </x:c>
      <x:c r="J62" t="str">
        <x:f>IF(H62&gt;F62*(1+HYPOTHESES!$B$8),"ALERTE",IF(H62&gt;F62,"SURVEILLANCE","MAÎTRISÉ"))</x:f>
        <x:v>MAÎTRISÉ</x:v>
      </x:c>
    </x:row>
    <x:row r="63">
      <x:c r="A63" s="18" t="n">
        <x:v>2026</x:v>
      </x:c>
      <x:c r="B63" s="18" t="n">
        <x:v>2</x:v>
      </x:c>
      <x:c r="C63" s="18" t="str">
        <x:v>Février</x:v>
      </x:c>
      <x:c r="D63" s="18" t="str">
        <x:v>Systèmes d’information</x:v>
      </x:c>
      <x:c r="E63" s="18" t="str">
        <x:v>Déplacements</x:v>
      </x:c>
      <x:c r="F63" s="26" t="n">
        <x:v>2200</x:v>
      </x:c>
      <x:c r="G63" s="26" t="n">
        <x:v>2400</x:v>
      </x:c>
      <x:c r="H63" s="22" t="n">
        <x:f>G63-F63</x:f>
        <x:v>200</x:v>
      </x:c>
      <x:c r="I63" s="24" t="n">
        <x:f>IFERROR(H63/F63,0)</x:f>
        <x:v>0.09090909090909091</x:v>
      </x:c>
      <x:c r="J63" t="str">
        <x:f>IF(H63&gt;F63*(1+HYPOTHESES!$B$8),"ALERTE",IF(H63&gt;F63,"SURVEILLANCE","MAÎTRISÉ"))</x:f>
        <x:v>MAÎTRISÉ</x:v>
      </x:c>
    </x:row>
    <x:row r="64">
      <x:c r="A64" s="18" t="n">
        <x:v>2026</x:v>
      </x:c>
      <x:c r="B64" s="18" t="n">
        <x:v>2</x:v>
      </x:c>
      <x:c r="C64" s="18" t="str">
        <x:v>Février</x:v>
      </x:c>
      <x:c r="D64" s="18" t="str">
        <x:v>Systèmes d’information</x:v>
      </x:c>
      <x:c r="E64" s="18" t="str">
        <x:v>Énergie &amp; Maintenance</x:v>
      </x:c>
      <x:c r="F64" s="26" t="n">
        <x:v>3000</x:v>
      </x:c>
      <x:c r="G64" s="26" t="n">
        <x:v>2900</x:v>
      </x:c>
      <x:c r="H64" s="22" t="n">
        <x:f>G64-F64</x:f>
        <x:v>-100</x:v>
      </x:c>
      <x:c r="I64" s="24" t="n">
        <x:f>IFERROR(H64/F64,0)</x:f>
        <x:v>-0.03333333333333333</x:v>
      </x:c>
      <x:c r="J64" t="str">
        <x:f>IF(H64&gt;F64*(1+HYPOTHESES!$B$8),"ALERTE",IF(H64&gt;F64,"SURVEILLANCE","MAÎTRISÉ"))</x:f>
        <x:v>MAÎTRISÉ</x:v>
      </x:c>
    </x:row>
    <x:row r="65">
      <x:c r="A65" s="18" t="n">
        <x:v>2026</x:v>
      </x:c>
      <x:c r="B65" s="18" t="n">
        <x:v>2</x:v>
      </x:c>
      <x:c r="C65" s="18" t="str">
        <x:v>Février</x:v>
      </x:c>
      <x:c r="D65" s="18" t="str">
        <x:v>Systèmes d’information</x:v>
      </x:c>
      <x:c r="E65" s="18" t="str">
        <x:v>Logiciels &amp; Autres</x:v>
      </x:c>
      <x:c r="F65" s="26" t="n">
        <x:v>43700</x:v>
      </x:c>
      <x:c r="G65" s="26" t="n">
        <x:v>47400</x:v>
      </x:c>
      <x:c r="H65" s="22" t="n">
        <x:f>G65-F65</x:f>
        <x:v>3700</x:v>
      </x:c>
      <x:c r="I65" s="24" t="n">
        <x:f>IFERROR(H65/F65,0)</x:f>
        <x:v>0.08466819221967964</x:v>
      </x:c>
      <x:c r="J65" t="str">
        <x:f>IF(H65&gt;F65*(1+HYPOTHESES!$B$8),"ALERTE",IF(H65&gt;F65,"SURVEILLANCE","MAÎTRISÉ"))</x:f>
        <x:v>MAÎTRISÉ</x:v>
      </x:c>
    </x:row>
    <x:row r="66">
      <x:c r="A66" s="18" t="n">
        <x:v>2026</x:v>
      </x:c>
      <x:c r="B66" s="18" t="n">
        <x:v>3</x:v>
      </x:c>
      <x:c r="C66" s="18" t="str">
        <x:v>Mars</x:v>
      </x:c>
      <x:c r="D66" s="18" t="str">
        <x:v>Direction générale</x:v>
      </x:c>
      <x:c r="E66" s="18" t="str">
        <x:v>Personnel</x:v>
      </x:c>
      <x:c r="F66" s="26" t="n">
        <x:v>85600</x:v>
      </x:c>
      <x:c r="G66" s="26" t="n">
        <x:v>79800</x:v>
      </x:c>
      <x:c r="H66" s="22" t="n">
        <x:f>G66-F66</x:f>
        <x:v>-5800</x:v>
      </x:c>
      <x:c r="I66" s="24" t="n">
        <x:f>IFERROR(H66/F66,0)</x:f>
        <x:v>-0.06775700934579439</x:v>
      </x:c>
      <x:c r="J66" t="str">
        <x:f>IF(H66&gt;F66*(1+HYPOTHESES!$B$8),"ALERTE",IF(H66&gt;F66,"SURVEILLANCE","MAÎTRISÉ"))</x:f>
        <x:v>MAÎTRISÉ</x:v>
      </x:c>
    </x:row>
    <x:row r="67">
      <x:c r="A67" s="18" t="n">
        <x:v>2026</x:v>
      </x:c>
      <x:c r="B67" s="18" t="n">
        <x:v>3</x:v>
      </x:c>
      <x:c r="C67" s="18" t="str">
        <x:v>Mars</x:v>
      </x:c>
      <x:c r="D67" s="18" t="str">
        <x:v>Direction générale</x:v>
      </x:c>
      <x:c r="E67" s="18" t="str">
        <x:v>Prestations externes</x:v>
      </x:c>
      <x:c r="F67" s="26" t="n">
        <x:v>41900</x:v>
      </x:c>
      <x:c r="G67" s="26" t="n">
        <x:v>37600</x:v>
      </x:c>
      <x:c r="H67" s="22" t="n">
        <x:f>G67-F67</x:f>
        <x:v>-4300</x:v>
      </x:c>
      <x:c r="I67" s="24" t="n">
        <x:f>IFERROR(H67/F67,0)</x:f>
        <x:v>-0.1026252983293556</x:v>
      </x:c>
      <x:c r="J67" t="str">
        <x:f>IF(H67&gt;F67*(1+HYPOTHESES!$B$8),"ALERTE",IF(H67&gt;F67,"SURVEILLANCE","MAÎTRISÉ"))</x:f>
        <x:v>MAÎTRISÉ</x:v>
      </x:c>
    </x:row>
    <x:row r="68">
      <x:c r="A68" s="18" t="n">
        <x:v>2026</x:v>
      </x:c>
      <x:c r="B68" s="18" t="n">
        <x:v>3</x:v>
      </x:c>
      <x:c r="C68" s="18" t="str">
        <x:v>Mars</x:v>
      </x:c>
      <x:c r="D68" s="18" t="str">
        <x:v>Direction générale</x:v>
      </x:c>
      <x:c r="E68" s="18" t="str">
        <x:v>Déplacements</x:v>
      </x:c>
      <x:c r="F68" s="26" t="n">
        <x:v>7300</x:v>
      </x:c>
      <x:c r="G68" s="26" t="n">
        <x:v>6600</x:v>
      </x:c>
      <x:c r="H68" s="22" t="n">
        <x:f>G68-F68</x:f>
        <x:v>-700</x:v>
      </x:c>
      <x:c r="I68" s="24" t="n">
        <x:f>IFERROR(H68/F68,0)</x:f>
        <x:v>-0.0958904109589041</x:v>
      </x:c>
      <x:c r="J68" t="str">
        <x:f>IF(H68&gt;F68*(1+HYPOTHESES!$B$8),"ALERTE",IF(H68&gt;F68,"SURVEILLANCE","MAÎTRISÉ"))</x:f>
        <x:v>MAÎTRISÉ</x:v>
      </x:c>
    </x:row>
    <x:row r="69">
      <x:c r="A69" s="18" t="n">
        <x:v>2026</x:v>
      </x:c>
      <x:c r="B69" s="18" t="n">
        <x:v>3</x:v>
      </x:c>
      <x:c r="C69" s="18" t="str">
        <x:v>Mars</x:v>
      </x:c>
      <x:c r="D69" s="18" t="str">
        <x:v>Direction générale</x:v>
      </x:c>
      <x:c r="E69" s="18" t="str">
        <x:v>Énergie &amp; Maintenance</x:v>
      </x:c>
      <x:c r="F69" s="26" t="n">
        <x:v>9200</x:v>
      </x:c>
      <x:c r="G69" s="26" t="n">
        <x:v>9100</x:v>
      </x:c>
      <x:c r="H69" s="22" t="n">
        <x:f>G69-F69</x:f>
        <x:v>-100</x:v>
      </x:c>
      <x:c r="I69" s="24" t="n">
        <x:f>IFERROR(H69/F69,0)</x:f>
        <x:v>-0.010869565217391304</x:v>
      </x:c>
      <x:c r="J69" t="str">
        <x:f>IF(H69&gt;F69*(1+HYPOTHESES!$B$8),"ALERTE",IF(H69&gt;F69,"SURVEILLANCE","MAÎTRISÉ"))</x:f>
        <x:v>MAÎTRISÉ</x:v>
      </x:c>
    </x:row>
    <x:row r="70">
      <x:c r="A70" s="18" t="n">
        <x:v>2026</x:v>
      </x:c>
      <x:c r="B70" s="18" t="n">
        <x:v>3</x:v>
      </x:c>
      <x:c r="C70" s="18" t="str">
        <x:v>Mars</x:v>
      </x:c>
      <x:c r="D70" s="18" t="str">
        <x:v>Direction générale</x:v>
      </x:c>
      <x:c r="E70" s="18" t="str">
        <x:v>Logiciels &amp; Autres</x:v>
      </x:c>
      <x:c r="F70" s="26" t="n">
        <x:v>6200</x:v>
      </x:c>
      <x:c r="G70" s="26" t="n">
        <x:v>5600</x:v>
      </x:c>
      <x:c r="H70" s="22" t="n">
        <x:f>G70-F70</x:f>
        <x:v>-600</x:v>
      </x:c>
      <x:c r="I70" s="24" t="n">
        <x:f>IFERROR(H70/F70,0)</x:f>
        <x:v>-0.0967741935483871</x:v>
      </x:c>
      <x:c r="J70" t="str">
        <x:f>IF(H70&gt;F70*(1+HYPOTHESES!$B$8),"ALERTE",IF(H70&gt;F70,"SURVEILLANCE","MAÎTRISÉ"))</x:f>
        <x:v>MAÎTRISÉ</x:v>
      </x:c>
    </x:row>
    <x:row r="71">
      <x:c r="A71" s="18" t="n">
        <x:v>2026</x:v>
      </x:c>
      <x:c r="B71" s="18" t="n">
        <x:v>3</x:v>
      </x:c>
      <x:c r="C71" s="18" t="str">
        <x:v>Mars</x:v>
      </x:c>
      <x:c r="D71" s="18" t="str">
        <x:v>Finance &amp; Comptabilité</x:v>
      </x:c>
      <x:c r="E71" s="18" t="str">
        <x:v>Personnel</x:v>
      </x:c>
      <x:c r="F71" s="26" t="n">
        <x:v>62000</x:v>
      </x:c>
      <x:c r="G71" s="26" t="n">
        <x:v>57300</x:v>
      </x:c>
      <x:c r="H71" s="22" t="n">
        <x:f>G71-F71</x:f>
        <x:v>-4700</x:v>
      </x:c>
      <x:c r="I71" s="24" t="n">
        <x:f>IFERROR(H71/F71,0)</x:f>
        <x:v>-0.07580645161290323</x:v>
      </x:c>
      <x:c r="J71" t="str">
        <x:f>IF(H71&gt;F71*(1+HYPOTHESES!$B$8),"ALERTE",IF(H71&gt;F71,"SURVEILLANCE","MAÎTRISÉ"))</x:f>
        <x:v>MAÎTRISÉ</x:v>
      </x:c>
    </x:row>
    <x:row r="72">
      <x:c r="A72" s="18" t="n">
        <x:v>2026</x:v>
      </x:c>
      <x:c r="B72" s="18" t="n">
        <x:v>3</x:v>
      </x:c>
      <x:c r="C72" s="18" t="str">
        <x:v>Mars</x:v>
      </x:c>
      <x:c r="D72" s="18" t="str">
        <x:v>Finance &amp; Comptabilité</x:v>
      </x:c>
      <x:c r="E72" s="18" t="str">
        <x:v>Prestations externes</x:v>
      </x:c>
      <x:c r="F72" s="26" t="n">
        <x:v>8300</x:v>
      </x:c>
      <x:c r="G72" s="26" t="n">
        <x:v>8200</x:v>
      </x:c>
      <x:c r="H72" s="22" t="n">
        <x:f>G72-F72</x:f>
        <x:v>-100</x:v>
      </x:c>
      <x:c r="I72" s="24" t="n">
        <x:f>IFERROR(H72/F72,0)</x:f>
        <x:v>-0.012048192771084338</x:v>
      </x:c>
      <x:c r="J72" t="str">
        <x:f>IF(H72&gt;F72*(1+HYPOTHESES!$B$8),"ALERTE",IF(H72&gt;F72,"SURVEILLANCE","MAÎTRISÉ"))</x:f>
        <x:v>MAÎTRISÉ</x:v>
      </x:c>
    </x:row>
    <x:row r="73">
      <x:c r="A73" s="18" t="n">
        <x:v>2026</x:v>
      </x:c>
      <x:c r="B73" s="18" t="n">
        <x:v>3</x:v>
      </x:c>
      <x:c r="C73" s="18" t="str">
        <x:v>Mars</x:v>
      </x:c>
      <x:c r="D73" s="18" t="str">
        <x:v>Finance &amp; Comptabilité</x:v>
      </x:c>
      <x:c r="E73" s="18" t="str">
        <x:v>Déplacements</x:v>
      </x:c>
      <x:c r="F73" s="26" t="n">
        <x:v>2900</x:v>
      </x:c>
      <x:c r="G73" s="26" t="n">
        <x:v>2600</x:v>
      </x:c>
      <x:c r="H73" s="22" t="n">
        <x:f>G73-F73</x:f>
        <x:v>-300</x:v>
      </x:c>
      <x:c r="I73" s="24" t="n">
        <x:f>IFERROR(H73/F73,0)</x:f>
        <x:v>-0.10344827586206896</x:v>
      </x:c>
      <x:c r="J73" t="str">
        <x:f>IF(H73&gt;F73*(1+HYPOTHESES!$B$8),"ALERTE",IF(H73&gt;F73,"SURVEILLANCE","MAÎTRISÉ"))</x:f>
        <x:v>MAÎTRISÉ</x:v>
      </x:c>
    </x:row>
    <x:row r="74">
      <x:c r="A74" s="18" t="n">
        <x:v>2026</x:v>
      </x:c>
      <x:c r="B74" s="18" t="n">
        <x:v>3</x:v>
      </x:c>
      <x:c r="C74" s="18" t="str">
        <x:v>Mars</x:v>
      </x:c>
      <x:c r="D74" s="18" t="str">
        <x:v>Finance &amp; Comptabilité</x:v>
      </x:c>
      <x:c r="E74" s="18" t="str">
        <x:v>Énergie &amp; Maintenance</x:v>
      </x:c>
      <x:c r="F74" s="26" t="n">
        <x:v>2400</x:v>
      </x:c>
      <x:c r="G74" s="26" t="n">
        <x:v>2300</x:v>
      </x:c>
      <x:c r="H74" s="22" t="n">
        <x:f>G74-F74</x:f>
        <x:v>-100</x:v>
      </x:c>
      <x:c r="I74" s="24" t="n">
        <x:f>IFERROR(H74/F74,0)</x:f>
        <x:v>-0.041666666666666664</x:v>
      </x:c>
      <x:c r="J74" t="str">
        <x:f>IF(H74&gt;F74*(1+HYPOTHESES!$B$8),"ALERTE",IF(H74&gt;F74,"SURVEILLANCE","MAÎTRISÉ"))</x:f>
        <x:v>MAÎTRISÉ</x:v>
      </x:c>
    </x:row>
    <x:row r="75">
      <x:c r="A75" s="18" t="n">
        <x:v>2026</x:v>
      </x:c>
      <x:c r="B75" s="18" t="n">
        <x:v>3</x:v>
      </x:c>
      <x:c r="C75" s="18" t="str">
        <x:v>Mars</x:v>
      </x:c>
      <x:c r="D75" s="18" t="str">
        <x:v>Finance &amp; Comptabilité</x:v>
      </x:c>
      <x:c r="E75" s="18" t="str">
        <x:v>Logiciels &amp; Autres</x:v>
      </x:c>
      <x:c r="F75" s="26" t="n">
        <x:v>5400</x:v>
      </x:c>
      <x:c r="G75" s="26" t="n">
        <x:v>5200</x:v>
      </x:c>
      <x:c r="H75" s="22" t="n">
        <x:f>G75-F75</x:f>
        <x:v>-200</x:v>
      </x:c>
      <x:c r="I75" s="24" t="n">
        <x:f>IFERROR(H75/F75,0)</x:f>
        <x:v>-0.037037037037037035</x:v>
      </x:c>
      <x:c r="J75" t="str">
        <x:f>IF(H75&gt;F75*(1+HYPOTHESES!$B$8),"ALERTE",IF(H75&gt;F75,"SURVEILLANCE","MAÎTRISÉ"))</x:f>
        <x:v>MAÎTRISÉ</x:v>
      </x:c>
    </x:row>
    <x:row r="76">
      <x:c r="A76" s="18" t="n">
        <x:v>2026</x:v>
      </x:c>
      <x:c r="B76" s="18" t="n">
        <x:v>3</x:v>
      </x:c>
      <x:c r="C76" s="18" t="str">
        <x:v>Mars</x:v>
      </x:c>
      <x:c r="D76" s="18" t="str">
        <x:v>Commercial &amp; Marketing</x:v>
      </x:c>
      <x:c r="E76" s="18" t="str">
        <x:v>Personnel</x:v>
      </x:c>
      <x:c r="F76" s="26" t="n">
        <x:v>111700</x:v>
      </x:c>
      <x:c r="G76" s="26" t="n">
        <x:v>115300</x:v>
      </x:c>
      <x:c r="H76" s="22" t="n">
        <x:f>G76-F76</x:f>
        <x:v>3600</x:v>
      </x:c>
      <x:c r="I76" s="24" t="n">
        <x:f>IFERROR(H76/F76,0)</x:f>
        <x:v>0.03222918531781558</x:v>
      </x:c>
      <x:c r="J76" t="str">
        <x:f>IF(H76&gt;F76*(1+HYPOTHESES!$B$8),"ALERTE",IF(H76&gt;F76,"SURVEILLANCE","MAÎTRISÉ"))</x:f>
        <x:v>MAÎTRISÉ</x:v>
      </x:c>
    </x:row>
    <x:row r="77">
      <x:c r="A77" s="18" t="n">
        <x:v>2026</x:v>
      </x:c>
      <x:c r="B77" s="18" t="n">
        <x:v>3</x:v>
      </x:c>
      <x:c r="C77" s="18" t="str">
        <x:v>Mars</x:v>
      </x:c>
      <x:c r="D77" s="18" t="str">
        <x:v>Commercial &amp; Marketing</x:v>
      </x:c>
      <x:c r="E77" s="18" t="str">
        <x:v>Prestations externes</x:v>
      </x:c>
      <x:c r="F77" s="26" t="n">
        <x:v>29700</x:v>
      </x:c>
      <x:c r="G77" s="26" t="n">
        <x:v>27300</x:v>
      </x:c>
      <x:c r="H77" s="22" t="n">
        <x:f>G77-F77</x:f>
        <x:v>-2400</x:v>
      </x:c>
      <x:c r="I77" s="24" t="n">
        <x:f>IFERROR(H77/F77,0)</x:f>
        <x:v>-0.08080808080808081</x:v>
      </x:c>
      <x:c r="J77" t="str">
        <x:f>IF(H77&gt;F77*(1+HYPOTHESES!$B$8),"ALERTE",IF(H77&gt;F77,"SURVEILLANCE","MAÎTRISÉ"))</x:f>
        <x:v>MAÎTRISÉ</x:v>
      </x:c>
    </x:row>
    <x:row r="78">
      <x:c r="A78" s="18" t="n">
        <x:v>2026</x:v>
      </x:c>
      <x:c r="B78" s="18" t="n">
        <x:v>3</x:v>
      </x:c>
      <x:c r="C78" s="18" t="str">
        <x:v>Mars</x:v>
      </x:c>
      <x:c r="D78" s="18" t="str">
        <x:v>Commercial &amp; Marketing</x:v>
      </x:c>
      <x:c r="E78" s="18" t="str">
        <x:v>Déplacements</x:v>
      </x:c>
      <x:c r="F78" s="26" t="n">
        <x:v>19200</x:v>
      </x:c>
      <x:c r="G78" s="26" t="n">
        <x:v>21700</x:v>
      </x:c>
      <x:c r="H78" s="22" t="n">
        <x:f>G78-F78</x:f>
        <x:v>2500</x:v>
      </x:c>
      <x:c r="I78" s="24" t="n">
        <x:f>IFERROR(H78/F78,0)</x:f>
        <x:v>0.13020833333333334</x:v>
      </x:c>
      <x:c r="J78" t="str">
        <x:f>IF(H78&gt;F78*(1+HYPOTHESES!$B$8),"ALERTE",IF(H78&gt;F78,"SURVEILLANCE","MAÎTRISÉ"))</x:f>
        <x:v>MAÎTRISÉ</x:v>
      </x:c>
    </x:row>
    <x:row r="79">
      <x:c r="A79" s="18" t="n">
        <x:v>2026</x:v>
      </x:c>
      <x:c r="B79" s="18" t="n">
        <x:v>3</x:v>
      </x:c>
      <x:c r="C79" s="18" t="str">
        <x:v>Mars</x:v>
      </x:c>
      <x:c r="D79" s="18" t="str">
        <x:v>Commercial &amp; Marketing</x:v>
      </x:c>
      <x:c r="E79" s="18" t="str">
        <x:v>Énergie &amp; Maintenance</x:v>
      </x:c>
      <x:c r="F79" s="26" t="n">
        <x:v>3700</x:v>
      </x:c>
      <x:c r="G79" s="26" t="n">
        <x:v>3400</x:v>
      </x:c>
      <x:c r="H79" s="22" t="n">
        <x:f>G79-F79</x:f>
        <x:v>-300</x:v>
      </x:c>
      <x:c r="I79" s="24" t="n">
        <x:f>IFERROR(H79/F79,0)</x:f>
        <x:v>-0.08108108108108109</x:v>
      </x:c>
      <x:c r="J79" t="str">
        <x:f>IF(H79&gt;F79*(1+HYPOTHESES!$B$8),"ALERTE",IF(H79&gt;F79,"SURVEILLANCE","MAÎTRISÉ"))</x:f>
        <x:v>MAÎTRISÉ</x:v>
      </x:c>
    </x:row>
    <x:row r="80">
      <x:c r="A80" s="18" t="n">
        <x:v>2026</x:v>
      </x:c>
      <x:c r="B80" s="18" t="n">
        <x:v>3</x:v>
      </x:c>
      <x:c r="C80" s="18" t="str">
        <x:v>Mars</x:v>
      </x:c>
      <x:c r="D80" s="18" t="str">
        <x:v>Commercial &amp; Marketing</x:v>
      </x:c>
      <x:c r="E80" s="18" t="str">
        <x:v>Logiciels &amp; Autres</x:v>
      </x:c>
      <x:c r="F80" s="26" t="n">
        <x:v>10200</x:v>
      </x:c>
      <x:c r="G80" s="26" t="n">
        <x:v>10400</x:v>
      </x:c>
      <x:c r="H80" s="22" t="n">
        <x:f>G80-F80</x:f>
        <x:v>200</x:v>
      </x:c>
      <x:c r="I80" s="24" t="n">
        <x:f>IFERROR(H80/F80,0)</x:f>
        <x:v>0.0196078431372549</x:v>
      </x:c>
      <x:c r="J80" t="str">
        <x:f>IF(H80&gt;F80*(1+HYPOTHESES!$B$8),"ALERTE",IF(H80&gt;F80,"SURVEILLANCE","MAÎTRISÉ"))</x:f>
        <x:v>MAÎTRISÉ</x:v>
      </x:c>
    </x:row>
    <x:row r="81">
      <x:c r="A81" s="18" t="n">
        <x:v>2026</x:v>
      </x:c>
      <x:c r="B81" s="18" t="n">
        <x:v>3</x:v>
      </x:c>
      <x:c r="C81" s="18" t="str">
        <x:v>Mars</x:v>
      </x:c>
      <x:c r="D81" s="18" t="str">
        <x:v>Production</x:v>
      </x:c>
      <x:c r="E81" s="18" t="str">
        <x:v>Personnel</x:v>
      </x:c>
      <x:c r="F81" s="26" t="n">
        <x:v>172000</x:v>
      </x:c>
      <x:c r="G81" s="26" t="n">
        <x:v>169000</x:v>
      </x:c>
      <x:c r="H81" s="22" t="n">
        <x:f>G81-F81</x:f>
        <x:v>-3000</x:v>
      </x:c>
      <x:c r="I81" s="24" t="n">
        <x:f>IFERROR(H81/F81,0)</x:f>
        <x:v>-0.01744186046511628</x:v>
      </x:c>
      <x:c r="J81" t="str">
        <x:f>IF(H81&gt;F81*(1+HYPOTHESES!$B$8),"ALERTE",IF(H81&gt;F81,"SURVEILLANCE","MAÎTRISÉ"))</x:f>
        <x:v>MAÎTRISÉ</x:v>
      </x:c>
    </x:row>
    <x:row r="82">
      <x:c r="A82" s="18" t="n">
        <x:v>2026</x:v>
      </x:c>
      <x:c r="B82" s="18" t="n">
        <x:v>3</x:v>
      </x:c>
      <x:c r="C82" s="18" t="str">
        <x:v>Mars</x:v>
      </x:c>
      <x:c r="D82" s="18" t="str">
        <x:v>Production</x:v>
      </x:c>
      <x:c r="E82" s="18" t="str">
        <x:v>Prestations externes</x:v>
      </x:c>
      <x:c r="F82" s="26" t="n">
        <x:v>59400</x:v>
      </x:c>
      <x:c r="G82" s="26" t="n">
        <x:v>63000</x:v>
      </x:c>
      <x:c r="H82" s="22" t="n">
        <x:f>G82-F82</x:f>
        <x:v>3600</x:v>
      </x:c>
      <x:c r="I82" s="24" t="n">
        <x:f>IFERROR(H82/F82,0)</x:f>
        <x:v>0.06060606060606061</x:v>
      </x:c>
      <x:c r="J82" t="str">
        <x:f>IF(H82&gt;F82*(1+HYPOTHESES!$B$8),"ALERTE",IF(H82&gt;F82,"SURVEILLANCE","MAÎTRISÉ"))</x:f>
        <x:v>MAÎTRISÉ</x:v>
      </x:c>
    </x:row>
    <x:row r="83">
      <x:c r="A83" s="18" t="n">
        <x:v>2026</x:v>
      </x:c>
      <x:c r="B83" s="18" t="n">
        <x:v>3</x:v>
      </x:c>
      <x:c r="C83" s="18" t="str">
        <x:v>Mars</x:v>
      </x:c>
      <x:c r="D83" s="18" t="str">
        <x:v>Production</x:v>
      </x:c>
      <x:c r="E83" s="18" t="str">
        <x:v>Déplacements</x:v>
      </x:c>
      <x:c r="F83" s="26" t="n">
        <x:v>7400</x:v>
      </x:c>
      <x:c r="G83" s="26" t="n">
        <x:v>7900</x:v>
      </x:c>
      <x:c r="H83" s="22" t="n">
        <x:f>G83-F83</x:f>
        <x:v>500</x:v>
      </x:c>
      <x:c r="I83" s="24" t="n">
        <x:f>IFERROR(H83/F83,0)</x:f>
        <x:v>0.06756756756756757</x:v>
      </x:c>
      <x:c r="J83" t="str">
        <x:f>IF(H83&gt;F83*(1+HYPOTHESES!$B$8),"ALERTE",IF(H83&gt;F83,"SURVEILLANCE","MAÎTRISÉ"))</x:f>
        <x:v>MAÎTRISÉ</x:v>
      </x:c>
    </x:row>
    <x:row r="84">
      <x:c r="A84" s="18" t="n">
        <x:v>2026</x:v>
      </x:c>
      <x:c r="B84" s="18" t="n">
        <x:v>3</x:v>
      </x:c>
      <x:c r="C84" s="18" t="str">
        <x:v>Mars</x:v>
      </x:c>
      <x:c r="D84" s="18" t="str">
        <x:v>Production</x:v>
      </x:c>
      <x:c r="E84" s="18" t="str">
        <x:v>Énergie &amp; Maintenance</x:v>
      </x:c>
      <x:c r="F84" s="26" t="n">
        <x:v>47100</x:v>
      </x:c>
      <x:c r="G84" s="26" t="n">
        <x:v>54900</x:v>
      </x:c>
      <x:c r="H84" s="22" t="n">
        <x:f>G84-F84</x:f>
        <x:v>7800</x:v>
      </x:c>
      <x:c r="I84" s="24" t="n">
        <x:f>IFERROR(H84/F84,0)</x:f>
        <x:v>0.16560509554140126</x:v>
      </x:c>
      <x:c r="J84" t="str">
        <x:f>IF(H84&gt;F84*(1+HYPOTHESES!$B$8),"ALERTE",IF(H84&gt;F84,"SURVEILLANCE","MAÎTRISÉ"))</x:f>
        <x:v>MAÎTRISÉ</x:v>
      </x:c>
    </x:row>
    <x:row r="85">
      <x:c r="A85" s="18" t="n">
        <x:v>2026</x:v>
      </x:c>
      <x:c r="B85" s="18" t="n">
        <x:v>3</x:v>
      </x:c>
      <x:c r="C85" s="18" t="str">
        <x:v>Mars</x:v>
      </x:c>
      <x:c r="D85" s="18" t="str">
        <x:v>Production</x:v>
      </x:c>
      <x:c r="E85" s="18" t="str">
        <x:v>Logiciels &amp; Autres</x:v>
      </x:c>
      <x:c r="F85" s="26" t="n">
        <x:v>5800</x:v>
      </x:c>
      <x:c r="G85" s="26" t="n">
        <x:v>5700</x:v>
      </x:c>
      <x:c r="H85" s="22" t="n">
        <x:f>G85-F85</x:f>
        <x:v>-100</x:v>
      </x:c>
      <x:c r="I85" s="24" t="n">
        <x:f>IFERROR(H85/F85,0)</x:f>
        <x:v>-0.017241379310344827</x:v>
      </x:c>
      <x:c r="J85" t="str">
        <x:f>IF(H85&gt;F85*(1+HYPOTHESES!$B$8),"ALERTE",IF(H85&gt;F85,"SURVEILLANCE","MAÎTRISÉ"))</x:f>
        <x:v>MAÎTRISÉ</x:v>
      </x:c>
    </x:row>
    <x:row r="86">
      <x:c r="A86" s="18" t="n">
        <x:v>2026</x:v>
      </x:c>
      <x:c r="B86" s="18" t="n">
        <x:v>3</x:v>
      </x:c>
      <x:c r="C86" s="18" t="str">
        <x:v>Mars</x:v>
      </x:c>
      <x:c r="D86" s="18" t="str">
        <x:v>Logistique</x:v>
      </x:c>
      <x:c r="E86" s="18" t="str">
        <x:v>Personnel</x:v>
      </x:c>
      <x:c r="F86" s="26" t="n">
        <x:v>68100</x:v>
      </x:c>
      <x:c r="G86" s="26" t="n">
        <x:v>68200</x:v>
      </x:c>
      <x:c r="H86" s="22" t="n">
        <x:f>G86-F86</x:f>
        <x:v>100</x:v>
      </x:c>
      <x:c r="I86" s="24" t="n">
        <x:f>IFERROR(H86/F86,0)</x:f>
        <x:v>0.0014684287812041115</x:v>
      </x:c>
      <x:c r="J86" t="str">
        <x:f>IF(H86&gt;F86*(1+HYPOTHESES!$B$8),"ALERTE",IF(H86&gt;F86,"SURVEILLANCE","MAÎTRISÉ"))</x:f>
        <x:v>MAÎTRISÉ</x:v>
      </x:c>
    </x:row>
    <x:row r="87">
      <x:c r="A87" s="18" t="n">
        <x:v>2026</x:v>
      </x:c>
      <x:c r="B87" s="18" t="n">
        <x:v>3</x:v>
      </x:c>
      <x:c r="C87" s="18" t="str">
        <x:v>Mars</x:v>
      </x:c>
      <x:c r="D87" s="18" t="str">
        <x:v>Logistique</x:v>
      </x:c>
      <x:c r="E87" s="18" t="str">
        <x:v>Prestations externes</x:v>
      </x:c>
      <x:c r="F87" s="26" t="n">
        <x:v>40200</x:v>
      </x:c>
      <x:c r="G87" s="26" t="n">
        <x:v>38400</x:v>
      </x:c>
      <x:c r="H87" s="22" t="n">
        <x:f>G87-F87</x:f>
        <x:v>-1800</x:v>
      </x:c>
      <x:c r="I87" s="24" t="n">
        <x:f>IFERROR(H87/F87,0)</x:f>
        <x:v>-0.04477611940298507</x:v>
      </x:c>
      <x:c r="J87" t="str">
        <x:f>IF(H87&gt;F87*(1+HYPOTHESES!$B$8),"ALERTE",IF(H87&gt;F87,"SURVEILLANCE","MAÎTRISÉ"))</x:f>
        <x:v>MAÎTRISÉ</x:v>
      </x:c>
    </x:row>
    <x:row r="88">
      <x:c r="A88" s="18" t="n">
        <x:v>2026</x:v>
      </x:c>
      <x:c r="B88" s="18" t="n">
        <x:v>3</x:v>
      </x:c>
      <x:c r="C88" s="18" t="str">
        <x:v>Mars</x:v>
      </x:c>
      <x:c r="D88" s="18" t="str">
        <x:v>Logistique</x:v>
      </x:c>
      <x:c r="E88" s="18" t="str">
        <x:v>Déplacements</x:v>
      </x:c>
      <x:c r="F88" s="26" t="n">
        <x:v>8400</x:v>
      </x:c>
      <x:c r="G88" s="26" t="n">
        <x:v>8600</x:v>
      </x:c>
      <x:c r="H88" s="22" t="n">
        <x:f>G88-F88</x:f>
        <x:v>200</x:v>
      </x:c>
      <x:c r="I88" s="24" t="n">
        <x:f>IFERROR(H88/F88,0)</x:f>
        <x:v>0.023809523809523808</x:v>
      </x:c>
      <x:c r="J88" t="str">
        <x:f>IF(H88&gt;F88*(1+HYPOTHESES!$B$8),"ALERTE",IF(H88&gt;F88,"SURVEILLANCE","MAÎTRISÉ"))</x:f>
        <x:v>MAÎTRISÉ</x:v>
      </x:c>
    </x:row>
    <x:row r="89">
      <x:c r="A89" s="18" t="n">
        <x:v>2026</x:v>
      </x:c>
      <x:c r="B89" s="18" t="n">
        <x:v>3</x:v>
      </x:c>
      <x:c r="C89" s="18" t="str">
        <x:v>Mars</x:v>
      </x:c>
      <x:c r="D89" s="18" t="str">
        <x:v>Logistique</x:v>
      </x:c>
      <x:c r="E89" s="18" t="str">
        <x:v>Énergie &amp; Maintenance</x:v>
      </x:c>
      <x:c r="F89" s="26" t="n">
        <x:v>18800</x:v>
      </x:c>
      <x:c r="G89" s="26" t="n">
        <x:v>19900</x:v>
      </x:c>
      <x:c r="H89" s="22" t="n">
        <x:f>G89-F89</x:f>
        <x:v>1100</x:v>
      </x:c>
      <x:c r="I89" s="24" t="n">
        <x:f>IFERROR(H89/F89,0)</x:f>
        <x:v>0.05851063829787234</x:v>
      </x:c>
      <x:c r="J89" t="str">
        <x:f>IF(H89&gt;F89*(1+HYPOTHESES!$B$8),"ALERTE",IF(H89&gt;F89,"SURVEILLANCE","MAÎTRISÉ"))</x:f>
        <x:v>MAÎTRISÉ</x:v>
      </x:c>
    </x:row>
    <x:row r="90">
      <x:c r="A90" s="18" t="n">
        <x:v>2026</x:v>
      </x:c>
      <x:c r="B90" s="18" t="n">
        <x:v>3</x:v>
      </x:c>
      <x:c r="C90" s="18" t="str">
        <x:v>Mars</x:v>
      </x:c>
      <x:c r="D90" s="18" t="str">
        <x:v>Logistique</x:v>
      </x:c>
      <x:c r="E90" s="18" t="str">
        <x:v>Logiciels &amp; Autres</x:v>
      </x:c>
      <x:c r="F90" s="26" t="n">
        <x:v>3400</x:v>
      </x:c>
      <x:c r="G90" s="26" t="n">
        <x:v>3400</x:v>
      </x:c>
      <x:c r="H90" s="22" t="n">
        <x:f>G90-F90</x:f>
        <x:v>0</x:v>
      </x:c>
      <x:c r="I90" s="24" t="n">
        <x:f>IFERROR(H90/F90,0)</x:f>
        <x:v>0</x:v>
      </x:c>
      <x:c r="J90" t="str">
        <x:f>IF(H90&gt;F90*(1+HYPOTHESES!$B$8),"ALERTE",IF(H90&gt;F90,"SURVEILLANCE","MAÎTRISÉ"))</x:f>
        <x:v>MAÎTRISÉ</x:v>
      </x:c>
    </x:row>
    <x:row r="91">
      <x:c r="A91" s="18" t="n">
        <x:v>2026</x:v>
      </x:c>
      <x:c r="B91" s="18" t="n">
        <x:v>3</x:v>
      </x:c>
      <x:c r="C91" s="18" t="str">
        <x:v>Mars</x:v>
      </x:c>
      <x:c r="D91" s="18" t="str">
        <x:v>Systèmes d’information</x:v>
      </x:c>
      <x:c r="E91" s="18" t="str">
        <x:v>Personnel</x:v>
      </x:c>
      <x:c r="F91" s="26" t="n">
        <x:v>80300</x:v>
      </x:c>
      <x:c r="G91" s="26" t="n">
        <x:v>81700</x:v>
      </x:c>
      <x:c r="H91" s="22" t="n">
        <x:f>G91-F91</x:f>
        <x:v>1400</x:v>
      </x:c>
      <x:c r="I91" s="24" t="n">
        <x:f>IFERROR(H91/F91,0)</x:f>
        <x:v>0.017434620174346202</x:v>
      </x:c>
      <x:c r="J91" t="str">
        <x:f>IF(H91&gt;F91*(1+HYPOTHESES!$B$8),"ALERTE",IF(H91&gt;F91,"SURVEILLANCE","MAÎTRISÉ"))</x:f>
        <x:v>MAÎTRISÉ</x:v>
      </x:c>
    </x:row>
    <x:row r="92">
      <x:c r="A92" s="18" t="n">
        <x:v>2026</x:v>
      </x:c>
      <x:c r="B92" s="18" t="n">
        <x:v>3</x:v>
      </x:c>
      <x:c r="C92" s="18" t="str">
        <x:v>Mars</x:v>
      </x:c>
      <x:c r="D92" s="18" t="str">
        <x:v>Systèmes d’information</x:v>
      </x:c>
      <x:c r="E92" s="18" t="str">
        <x:v>Prestations externes</x:v>
      </x:c>
      <x:c r="F92" s="26" t="n">
        <x:v>19600</x:v>
      </x:c>
      <x:c r="G92" s="26" t="n">
        <x:v>20200</x:v>
      </x:c>
      <x:c r="H92" s="22" t="n">
        <x:f>G92-F92</x:f>
        <x:v>600</x:v>
      </x:c>
      <x:c r="I92" s="24" t="n">
        <x:f>IFERROR(H92/F92,0)</x:f>
        <x:v>0.030612244897959183</x:v>
      </x:c>
      <x:c r="J92" t="str">
        <x:f>IF(H92&gt;F92*(1+HYPOTHESES!$B$8),"ALERTE",IF(H92&gt;F92,"SURVEILLANCE","MAÎTRISÉ"))</x:f>
        <x:v>MAÎTRISÉ</x:v>
      </x:c>
    </x:row>
    <x:row r="93">
      <x:c r="A93" s="18" t="n">
        <x:v>2026</x:v>
      </x:c>
      <x:c r="B93" s="18" t="n">
        <x:v>3</x:v>
      </x:c>
      <x:c r="C93" s="18" t="str">
        <x:v>Mars</x:v>
      </x:c>
      <x:c r="D93" s="18" t="str">
        <x:v>Systèmes d’information</x:v>
      </x:c>
      <x:c r="E93" s="18" t="str">
        <x:v>Déplacements</x:v>
      </x:c>
      <x:c r="F93" s="26" t="n">
        <x:v>2300</x:v>
      </x:c>
      <x:c r="G93" s="26" t="n">
        <x:v>2300</x:v>
      </x:c>
      <x:c r="H93" s="22" t="n">
        <x:f>G93-F93</x:f>
        <x:v>0</x:v>
      </x:c>
      <x:c r="I93" s="24" t="n">
        <x:f>IFERROR(H93/F93,0)</x:f>
        <x:v>0</x:v>
      </x:c>
      <x:c r="J93" t="str">
        <x:f>IF(H93&gt;F93*(1+HYPOTHESES!$B$8),"ALERTE",IF(H93&gt;F93,"SURVEILLANCE","MAÎTRISÉ"))</x:f>
        <x:v>MAÎTRISÉ</x:v>
      </x:c>
    </x:row>
    <x:row r="94">
      <x:c r="A94" s="18" t="n">
        <x:v>2026</x:v>
      </x:c>
      <x:c r="B94" s="18" t="n">
        <x:v>3</x:v>
      </x:c>
      <x:c r="C94" s="18" t="str">
        <x:v>Mars</x:v>
      </x:c>
      <x:c r="D94" s="18" t="str">
        <x:v>Systèmes d’information</x:v>
      </x:c>
      <x:c r="E94" s="18" t="str">
        <x:v>Énergie &amp; Maintenance</x:v>
      </x:c>
      <x:c r="F94" s="26" t="n">
        <x:v>3100</x:v>
      </x:c>
      <x:c r="G94" s="26" t="n">
        <x:v>3200</x:v>
      </x:c>
      <x:c r="H94" s="22" t="n">
        <x:f>G94-F94</x:f>
        <x:v>100</x:v>
      </x:c>
      <x:c r="I94" s="24" t="n">
        <x:f>IFERROR(H94/F94,0)</x:f>
        <x:v>0.03225806451612903</x:v>
      </x:c>
      <x:c r="J94" t="str">
        <x:f>IF(H94&gt;F94*(1+HYPOTHESES!$B$8),"ALERTE",IF(H94&gt;F94,"SURVEILLANCE","MAÎTRISÉ"))</x:f>
        <x:v>MAÎTRISÉ</x:v>
      </x:c>
    </x:row>
    <x:row r="95">
      <x:c r="A95" s="18" t="n">
        <x:v>2026</x:v>
      </x:c>
      <x:c r="B95" s="18" t="n">
        <x:v>3</x:v>
      </x:c>
      <x:c r="C95" s="18" t="str">
        <x:v>Mars</x:v>
      </x:c>
      <x:c r="D95" s="18" t="str">
        <x:v>Systèmes d’information</x:v>
      </x:c>
      <x:c r="E95" s="18" t="str">
        <x:v>Logiciels &amp; Autres</x:v>
      </x:c>
      <x:c r="F95" s="26" t="n">
        <x:v>44500</x:v>
      </x:c>
      <x:c r="G95" s="26" t="n">
        <x:v>49600</x:v>
      </x:c>
      <x:c r="H95" s="22" t="n">
        <x:f>G95-F95</x:f>
        <x:v>5100</x:v>
      </x:c>
      <x:c r="I95" s="24" t="n">
        <x:f>IFERROR(H95/F95,0)</x:f>
        <x:v>0.1146067415730337</x:v>
      </x:c>
      <x:c r="J95" t="str">
        <x:f>IF(H95&gt;F95*(1+HYPOTHESES!$B$8),"ALERTE",IF(H95&gt;F95,"SURVEILLANCE","MAÎTRISÉ"))</x:f>
        <x:v>MAÎTRISÉ</x:v>
      </x:c>
    </x:row>
    <x:row r="96">
      <x:c r="A96" s="18" t="n">
        <x:v>2026</x:v>
      </x:c>
      <x:c r="B96" s="18" t="n">
        <x:v>4</x:v>
      </x:c>
      <x:c r="C96" s="18" t="str">
        <x:v>Avril</x:v>
      </x:c>
      <x:c r="D96" s="18" t="str">
        <x:v>Direction générale</x:v>
      </x:c>
      <x:c r="E96" s="18" t="str">
        <x:v>Personnel</x:v>
      </x:c>
      <x:c r="F96" s="26" t="n">
        <x:v>86200</x:v>
      </x:c>
      <x:c r="G96" s="26" t="n">
        <x:v>80900</x:v>
      </x:c>
      <x:c r="H96" s="22" t="n">
        <x:f>G96-F96</x:f>
        <x:v>-5300</x:v>
      </x:c>
      <x:c r="I96" s="24" t="n">
        <x:f>IFERROR(H96/F96,0)</x:f>
        <x:v>-0.06148491879350348</x:v>
      </x:c>
      <x:c r="J96" t="str">
        <x:f>IF(H96&gt;F96*(1+HYPOTHESES!$B$8),"ALERTE",IF(H96&gt;F96,"SURVEILLANCE","MAÎTRISÉ"))</x:f>
        <x:v>MAÎTRISÉ</x:v>
      </x:c>
    </x:row>
    <x:row r="97">
      <x:c r="A97" s="18" t="n">
        <x:v>2026</x:v>
      </x:c>
      <x:c r="B97" s="18" t="n">
        <x:v>4</x:v>
      </x:c>
      <x:c r="C97" s="18" t="str">
        <x:v>Avril</x:v>
      </x:c>
      <x:c r="D97" s="18" t="str">
        <x:v>Direction générale</x:v>
      </x:c>
      <x:c r="E97" s="18" t="str">
        <x:v>Prestations externes</x:v>
      </x:c>
      <x:c r="F97" s="26" t="n">
        <x:v>42200</x:v>
      </x:c>
      <x:c r="G97" s="26" t="n">
        <x:v>39100</x:v>
      </x:c>
      <x:c r="H97" s="22" t="n">
        <x:f>G97-F97</x:f>
        <x:v>-3100</x:v>
      </x:c>
      <x:c r="I97" s="24" t="n">
        <x:f>IFERROR(H97/F97,0)</x:f>
        <x:v>-0.07345971563981042</x:v>
      </x:c>
      <x:c r="J97" t="str">
        <x:f>IF(H97&gt;F97*(1+HYPOTHESES!$B$8),"ALERTE",IF(H97&gt;F97,"SURVEILLANCE","MAÎTRISÉ"))</x:f>
        <x:v>MAÎTRISÉ</x:v>
      </x:c>
    </x:row>
    <x:row r="98">
      <x:c r="A98" s="18" t="n">
        <x:v>2026</x:v>
      </x:c>
      <x:c r="B98" s="18" t="n">
        <x:v>4</x:v>
      </x:c>
      <x:c r="C98" s="18" t="str">
        <x:v>Avril</x:v>
      </x:c>
      <x:c r="D98" s="18" t="str">
        <x:v>Direction générale</x:v>
      </x:c>
      <x:c r="E98" s="18" t="str">
        <x:v>Déplacements</x:v>
      </x:c>
      <x:c r="F98" s="26" t="n">
        <x:v>7400</x:v>
      </x:c>
      <x:c r="G98" s="26" t="n">
        <x:v>7000</x:v>
      </x:c>
      <x:c r="H98" s="22" t="n">
        <x:f>G98-F98</x:f>
        <x:v>-400</x:v>
      </x:c>
      <x:c r="I98" s="24" t="n">
        <x:f>IFERROR(H98/F98,0)</x:f>
        <x:v>-0.05405405405405406</x:v>
      </x:c>
      <x:c r="J98" t="str">
        <x:f>IF(H98&gt;F98*(1+HYPOTHESES!$B$8),"ALERTE",IF(H98&gt;F98,"SURVEILLANCE","MAÎTRISÉ"))</x:f>
        <x:v>MAÎTRISÉ</x:v>
      </x:c>
    </x:row>
    <x:row r="99">
      <x:c r="A99" s="18" t="n">
        <x:v>2026</x:v>
      </x:c>
      <x:c r="B99" s="18" t="n">
        <x:v>4</x:v>
      </x:c>
      <x:c r="C99" s="18" t="str">
        <x:v>Avril</x:v>
      </x:c>
      <x:c r="D99" s="18" t="str">
        <x:v>Direction générale</x:v>
      </x:c>
      <x:c r="E99" s="18" t="str">
        <x:v>Énergie &amp; Maintenance</x:v>
      </x:c>
      <x:c r="F99" s="26" t="n">
        <x:v>9200</x:v>
      </x:c>
      <x:c r="G99" s="26" t="n">
        <x:v>8300</x:v>
      </x:c>
      <x:c r="H99" s="22" t="n">
        <x:f>G99-F99</x:f>
        <x:v>-900</x:v>
      </x:c>
      <x:c r="I99" s="24" t="n">
        <x:f>IFERROR(H99/F99,0)</x:f>
        <x:v>-0.09782608695652174</x:v>
      </x:c>
      <x:c r="J99" t="str">
        <x:f>IF(H99&gt;F99*(1+HYPOTHESES!$B$8),"ALERTE",IF(H99&gt;F99,"SURVEILLANCE","MAÎTRISÉ"))</x:f>
        <x:v>MAÎTRISÉ</x:v>
      </x:c>
    </x:row>
    <x:row r="100">
      <x:c r="A100" s="18" t="n">
        <x:v>2026</x:v>
      </x:c>
      <x:c r="B100" s="18" t="n">
        <x:v>4</x:v>
      </x:c>
      <x:c r="C100" s="18" t="str">
        <x:v>Avril</x:v>
      </x:c>
      <x:c r="D100" s="18" t="str">
        <x:v>Direction générale</x:v>
      </x:c>
      <x:c r="E100" s="18" t="str">
        <x:v>Logiciels &amp; Autres</x:v>
      </x:c>
      <x:c r="F100" s="26" t="n">
        <x:v>6200</x:v>
      </x:c>
      <x:c r="G100" s="26" t="n">
        <x:v>6000</x:v>
      </x:c>
      <x:c r="H100" s="22" t="n">
        <x:f>G100-F100</x:f>
        <x:v>-200</x:v>
      </x:c>
      <x:c r="I100" s="24" t="n">
        <x:f>IFERROR(H100/F100,0)</x:f>
        <x:v>-0.03225806451612903</x:v>
      </x:c>
      <x:c r="J100" t="str">
        <x:f>IF(H100&gt;F100*(1+HYPOTHESES!$B$8),"ALERTE",IF(H100&gt;F100,"SURVEILLANCE","MAÎTRISÉ"))</x:f>
        <x:v>MAÎTRISÉ</x:v>
      </x:c>
    </x:row>
    <x:row r="101">
      <x:c r="A101" s="18" t="n">
        <x:v>2026</x:v>
      </x:c>
      <x:c r="B101" s="18" t="n">
        <x:v>4</x:v>
      </x:c>
      <x:c r="C101" s="18" t="str">
        <x:v>Avril</x:v>
      </x:c>
      <x:c r="D101" s="18" t="str">
        <x:v>Finance &amp; Comptabilité</x:v>
      </x:c>
      <x:c r="E101" s="18" t="str">
        <x:v>Personnel</x:v>
      </x:c>
      <x:c r="F101" s="26" t="n">
        <x:v>62400</x:v>
      </x:c>
      <x:c r="G101" s="26" t="n">
        <x:v>58800</x:v>
      </x:c>
      <x:c r="H101" s="22" t="n">
        <x:f>G101-F101</x:f>
        <x:v>-3600</x:v>
      </x:c>
      <x:c r="I101" s="24" t="n">
        <x:f>IFERROR(H101/F101,0)</x:f>
        <x:v>-0.057692307692307696</x:v>
      </x:c>
      <x:c r="J101" t="str">
        <x:f>IF(H101&gt;F101*(1+HYPOTHESES!$B$8),"ALERTE",IF(H101&gt;F101,"SURVEILLANCE","MAÎTRISÉ"))</x:f>
        <x:v>MAÎTRISÉ</x:v>
      </x:c>
    </x:row>
    <x:row r="102">
      <x:c r="A102" s="18" t="n">
        <x:v>2026</x:v>
      </x:c>
      <x:c r="B102" s="18" t="n">
        <x:v>4</x:v>
      </x:c>
      <x:c r="C102" s="18" t="str">
        <x:v>Avril</x:v>
      </x:c>
      <x:c r="D102" s="18" t="str">
        <x:v>Finance &amp; Comptabilité</x:v>
      </x:c>
      <x:c r="E102" s="18" t="str">
        <x:v>Prestations externes</x:v>
      </x:c>
      <x:c r="F102" s="26" t="n">
        <x:v>8400</x:v>
      </x:c>
      <x:c r="G102" s="26" t="n">
        <x:v>8000</x:v>
      </x:c>
      <x:c r="H102" s="22" t="n">
        <x:f>G102-F102</x:f>
        <x:v>-400</x:v>
      </x:c>
      <x:c r="I102" s="24" t="n">
        <x:f>IFERROR(H102/F102,0)</x:f>
        <x:v>-0.047619047619047616</x:v>
      </x:c>
      <x:c r="J102" t="str">
        <x:f>IF(H102&gt;F102*(1+HYPOTHESES!$B$8),"ALERTE",IF(H102&gt;F102,"SURVEILLANCE","MAÎTRISÉ"))</x:f>
        <x:v>MAÎTRISÉ</x:v>
      </x:c>
    </x:row>
    <x:row r="103">
      <x:c r="A103" s="18" t="n">
        <x:v>2026</x:v>
      </x:c>
      <x:c r="B103" s="18" t="n">
        <x:v>4</x:v>
      </x:c>
      <x:c r="C103" s="18" t="str">
        <x:v>Avril</x:v>
      </x:c>
      <x:c r="D103" s="18" t="str">
        <x:v>Finance &amp; Comptabilité</x:v>
      </x:c>
      <x:c r="E103" s="18" t="str">
        <x:v>Déplacements</x:v>
      </x:c>
      <x:c r="F103" s="26" t="n">
        <x:v>2900</x:v>
      </x:c>
      <x:c r="G103" s="26" t="n">
        <x:v>2900</x:v>
      </x:c>
      <x:c r="H103" s="22" t="n">
        <x:f>G103-F103</x:f>
        <x:v>0</x:v>
      </x:c>
      <x:c r="I103" s="24" t="n">
        <x:f>IFERROR(H103/F103,0)</x:f>
        <x:v>0</x:v>
      </x:c>
      <x:c r="J103" t="str">
        <x:f>IF(H103&gt;F103*(1+HYPOTHESES!$B$8),"ALERTE",IF(H103&gt;F103,"SURVEILLANCE","MAÎTRISÉ"))</x:f>
        <x:v>MAÎTRISÉ</x:v>
      </x:c>
    </x:row>
    <x:row r="104">
      <x:c r="A104" s="18" t="n">
        <x:v>2026</x:v>
      </x:c>
      <x:c r="B104" s="18" t="n">
        <x:v>4</x:v>
      </x:c>
      <x:c r="C104" s="18" t="str">
        <x:v>Avril</x:v>
      </x:c>
      <x:c r="D104" s="18" t="str">
        <x:v>Finance &amp; Comptabilité</x:v>
      </x:c>
      <x:c r="E104" s="18" t="str">
        <x:v>Énergie &amp; Maintenance</x:v>
      </x:c>
      <x:c r="F104" s="26" t="n">
        <x:v>2500</x:v>
      </x:c>
      <x:c r="G104" s="26" t="n">
        <x:v>2600</x:v>
      </x:c>
      <x:c r="H104" s="22" t="n">
        <x:f>G104-F104</x:f>
        <x:v>100</x:v>
      </x:c>
      <x:c r="I104" s="24" t="n">
        <x:f>IFERROR(H104/F104,0)</x:f>
        <x:v>0.04</x:v>
      </x:c>
      <x:c r="J104" t="str">
        <x:f>IF(H104&gt;F104*(1+HYPOTHESES!$B$8),"ALERTE",IF(H104&gt;F104,"SURVEILLANCE","MAÎTRISÉ"))</x:f>
        <x:v>MAÎTRISÉ</x:v>
      </x:c>
    </x:row>
    <x:row r="105">
      <x:c r="A105" s="18" t="n">
        <x:v>2026</x:v>
      </x:c>
      <x:c r="B105" s="18" t="n">
        <x:v>4</x:v>
      </x:c>
      <x:c r="C105" s="18" t="str">
        <x:v>Avril</x:v>
      </x:c>
      <x:c r="D105" s="18" t="str">
        <x:v>Finance &amp; Comptabilité</x:v>
      </x:c>
      <x:c r="E105" s="18" t="str">
        <x:v>Logiciels &amp; Autres</x:v>
      </x:c>
      <x:c r="F105" s="26" t="n">
        <x:v>5500</x:v>
      </x:c>
      <x:c r="G105" s="26" t="n">
        <x:v>5600</x:v>
      </x:c>
      <x:c r="H105" s="22" t="n">
        <x:f>G105-F105</x:f>
        <x:v>100</x:v>
      </x:c>
      <x:c r="I105" s="24" t="n">
        <x:f>IFERROR(H105/F105,0)</x:f>
        <x:v>0.01818181818181818</x:v>
      </x:c>
      <x:c r="J105" t="str">
        <x:f>IF(H105&gt;F105*(1+HYPOTHESES!$B$8),"ALERTE",IF(H105&gt;F105,"SURVEILLANCE","MAÎTRISÉ"))</x:f>
        <x:v>MAÎTRISÉ</x:v>
      </x:c>
    </x:row>
    <x:row r="106">
      <x:c r="A106" s="18" t="n">
        <x:v>2026</x:v>
      </x:c>
      <x:c r="B106" s="18" t="n">
        <x:v>4</x:v>
      </x:c>
      <x:c r="C106" s="18" t="str">
        <x:v>Avril</x:v>
      </x:c>
      <x:c r="D106" s="18" t="str">
        <x:v>Commercial &amp; Marketing</x:v>
      </x:c>
      <x:c r="E106" s="18" t="str">
        <x:v>Personnel</x:v>
      </x:c>
      <x:c r="F106" s="26" t="n">
        <x:v>112500</x:v>
      </x:c>
      <x:c r="G106" s="26" t="n">
        <x:v>109100</x:v>
      </x:c>
      <x:c r="H106" s="22" t="n">
        <x:f>G106-F106</x:f>
        <x:v>-3400</x:v>
      </x:c>
      <x:c r="I106" s="24" t="n">
        <x:f>IFERROR(H106/F106,0)</x:f>
        <x:v>-0.030222222222222223</x:v>
      </x:c>
      <x:c r="J106" t="str">
        <x:f>IF(H106&gt;F106*(1+HYPOTHESES!$B$8),"ALERTE",IF(H106&gt;F106,"SURVEILLANCE","MAÎTRISÉ"))</x:f>
        <x:v>MAÎTRISÉ</x:v>
      </x:c>
    </x:row>
    <x:row r="107">
      <x:c r="A107" s="18" t="n">
        <x:v>2026</x:v>
      </x:c>
      <x:c r="B107" s="18" t="n">
        <x:v>4</x:v>
      </x:c>
      <x:c r="C107" s="18" t="str">
        <x:v>Avril</x:v>
      </x:c>
      <x:c r="D107" s="18" t="str">
        <x:v>Commercial &amp; Marketing</x:v>
      </x:c>
      <x:c r="E107" s="18" t="str">
        <x:v>Prestations externes</x:v>
      </x:c>
      <x:c r="F107" s="26" t="n">
        <x:v>29900</x:v>
      </x:c>
      <x:c r="G107" s="26" t="n">
        <x:v>31000</x:v>
      </x:c>
      <x:c r="H107" s="22" t="n">
        <x:f>G107-F107</x:f>
        <x:v>1100</x:v>
      </x:c>
      <x:c r="I107" s="24" t="n">
        <x:f>IFERROR(H107/F107,0)</x:f>
        <x:v>0.03678929765886288</x:v>
      </x:c>
      <x:c r="J107" t="str">
        <x:f>IF(H107&gt;F107*(1+HYPOTHESES!$B$8),"ALERTE",IF(H107&gt;F107,"SURVEILLANCE","MAÎTRISÉ"))</x:f>
        <x:v>MAÎTRISÉ</x:v>
      </x:c>
    </x:row>
    <x:row r="108">
      <x:c r="A108" s="18" t="n">
        <x:v>2026</x:v>
      </x:c>
      <x:c r="B108" s="18" t="n">
        <x:v>4</x:v>
      </x:c>
      <x:c r="C108" s="18" t="str">
        <x:v>Avril</x:v>
      </x:c>
      <x:c r="D108" s="18" t="str">
        <x:v>Commercial &amp; Marketing</x:v>
      </x:c>
      <x:c r="E108" s="18" t="str">
        <x:v>Déplacements</x:v>
      </x:c>
      <x:c r="F108" s="26" t="n">
        <x:v>19300</x:v>
      </x:c>
      <x:c r="G108" s="26" t="n">
        <x:v>20000</x:v>
      </x:c>
      <x:c r="H108" s="22" t="n">
        <x:f>G108-F108</x:f>
        <x:v>700</x:v>
      </x:c>
      <x:c r="I108" s="24" t="n">
        <x:f>IFERROR(H108/F108,0)</x:f>
        <x:v>0.03626943005181347</x:v>
      </x:c>
      <x:c r="J108" t="str">
        <x:f>IF(H108&gt;F108*(1+HYPOTHESES!$B$8),"ALERTE",IF(H108&gt;F108,"SURVEILLANCE","MAÎTRISÉ"))</x:f>
        <x:v>MAÎTRISÉ</x:v>
      </x:c>
    </x:row>
    <x:row r="109">
      <x:c r="A109" s="18" t="n">
        <x:v>2026</x:v>
      </x:c>
      <x:c r="B109" s="18" t="n">
        <x:v>4</x:v>
      </x:c>
      <x:c r="C109" s="18" t="str">
        <x:v>Avril</x:v>
      </x:c>
      <x:c r="D109" s="18" t="str">
        <x:v>Commercial &amp; Marketing</x:v>
      </x:c>
      <x:c r="E109" s="18" t="str">
        <x:v>Énergie &amp; Maintenance</x:v>
      </x:c>
      <x:c r="F109" s="26" t="n">
        <x:v>3700</x:v>
      </x:c>
      <x:c r="G109" s="26" t="n">
        <x:v>3400</x:v>
      </x:c>
      <x:c r="H109" s="22" t="n">
        <x:f>G109-F109</x:f>
        <x:v>-300</x:v>
      </x:c>
      <x:c r="I109" s="24" t="n">
        <x:f>IFERROR(H109/F109,0)</x:f>
        <x:v>-0.08108108108108109</x:v>
      </x:c>
      <x:c r="J109" t="str">
        <x:f>IF(H109&gt;F109*(1+HYPOTHESES!$B$8),"ALERTE",IF(H109&gt;F109,"SURVEILLANCE","MAÎTRISÉ"))</x:f>
        <x:v>MAÎTRISÉ</x:v>
      </x:c>
    </x:row>
    <x:row r="110">
      <x:c r="A110" s="18" t="n">
        <x:v>2026</x:v>
      </x:c>
      <x:c r="B110" s="18" t="n">
        <x:v>4</x:v>
      </x:c>
      <x:c r="C110" s="18" t="str">
        <x:v>Avril</x:v>
      </x:c>
      <x:c r="D110" s="18" t="str">
        <x:v>Commercial &amp; Marketing</x:v>
      </x:c>
      <x:c r="E110" s="18" t="str">
        <x:v>Logiciels &amp; Autres</x:v>
      </x:c>
      <x:c r="F110" s="26" t="n">
        <x:v>10300</x:v>
      </x:c>
      <x:c r="G110" s="26" t="n">
        <x:v>10300</x:v>
      </x:c>
      <x:c r="H110" s="22" t="n">
        <x:f>G110-F110</x:f>
        <x:v>0</x:v>
      </x:c>
      <x:c r="I110" s="24" t="n">
        <x:f>IFERROR(H110/F110,0)</x:f>
        <x:v>0</x:v>
      </x:c>
      <x:c r="J110" t="str">
        <x:f>IF(H110&gt;F110*(1+HYPOTHESES!$B$8),"ALERTE",IF(H110&gt;F110,"SURVEILLANCE","MAÎTRISÉ"))</x:f>
        <x:v>MAÎTRISÉ</x:v>
      </x:c>
    </x:row>
    <x:row r="111">
      <x:c r="A111" s="18" t="n">
        <x:v>2026</x:v>
      </x:c>
      <x:c r="B111" s="18" t="n">
        <x:v>4</x:v>
      </x:c>
      <x:c r="C111" s="18" t="str">
        <x:v>Avril</x:v>
      </x:c>
      <x:c r="D111" s="18" t="str">
        <x:v>Production</x:v>
      </x:c>
      <x:c r="E111" s="18" t="str">
        <x:v>Personnel</x:v>
      </x:c>
      <x:c r="F111" s="26" t="n">
        <x:v>173200</x:v>
      </x:c>
      <x:c r="G111" s="26" t="n">
        <x:v>178200</x:v>
      </x:c>
      <x:c r="H111" s="22" t="n">
        <x:f>G111-F111</x:f>
        <x:v>5000</x:v>
      </x:c>
      <x:c r="I111" s="24" t="n">
        <x:f>IFERROR(H111/F111,0)</x:f>
        <x:v>0.028868360277136258</x:v>
      </x:c>
      <x:c r="J111" t="str">
        <x:f>IF(H111&gt;F111*(1+HYPOTHESES!$B$8),"ALERTE",IF(H111&gt;F111,"SURVEILLANCE","MAÎTRISÉ"))</x:f>
        <x:v>MAÎTRISÉ</x:v>
      </x:c>
    </x:row>
    <x:row r="112">
      <x:c r="A112" s="18" t="n">
        <x:v>2026</x:v>
      </x:c>
      <x:c r="B112" s="18" t="n">
        <x:v>4</x:v>
      </x:c>
      <x:c r="C112" s="18" t="str">
        <x:v>Avril</x:v>
      </x:c>
      <x:c r="D112" s="18" t="str">
        <x:v>Production</x:v>
      </x:c>
      <x:c r="E112" s="18" t="str">
        <x:v>Prestations externes</x:v>
      </x:c>
      <x:c r="F112" s="26" t="n">
        <x:v>59800</x:v>
      </x:c>
      <x:c r="G112" s="26" t="n">
        <x:v>62000</x:v>
      </x:c>
      <x:c r="H112" s="22" t="n">
        <x:f>G112-F112</x:f>
        <x:v>2200</x:v>
      </x:c>
      <x:c r="I112" s="24" t="n">
        <x:f>IFERROR(H112/F112,0)</x:f>
        <x:v>0.03678929765886288</x:v>
      </x:c>
      <x:c r="J112" t="str">
        <x:f>IF(H112&gt;F112*(1+HYPOTHESES!$B$8),"ALERTE",IF(H112&gt;F112,"SURVEILLANCE","MAÎTRISÉ"))</x:f>
        <x:v>MAÎTRISÉ</x:v>
      </x:c>
    </x:row>
    <x:row r="113">
      <x:c r="A113" s="18" t="n">
        <x:v>2026</x:v>
      </x:c>
      <x:c r="B113" s="18" t="n">
        <x:v>4</x:v>
      </x:c>
      <x:c r="C113" s="18" t="str">
        <x:v>Avril</x:v>
      </x:c>
      <x:c r="D113" s="18" t="str">
        <x:v>Production</x:v>
      </x:c>
      <x:c r="E113" s="18" t="str">
        <x:v>Déplacements</x:v>
      </x:c>
      <x:c r="F113" s="26" t="n">
        <x:v>7500</x:v>
      </x:c>
      <x:c r="G113" s="26" t="n">
        <x:v>8100</x:v>
      </x:c>
      <x:c r="H113" s="22" t="n">
        <x:f>G113-F113</x:f>
        <x:v>600</x:v>
      </x:c>
      <x:c r="I113" s="24" t="n">
        <x:f>IFERROR(H113/F113,0)</x:f>
        <x:v>0.08</x:v>
      </x:c>
      <x:c r="J113" t="str">
        <x:f>IF(H113&gt;F113*(1+HYPOTHESES!$B$8),"ALERTE",IF(H113&gt;F113,"SURVEILLANCE","MAÎTRISÉ"))</x:f>
        <x:v>MAÎTRISÉ</x:v>
      </x:c>
    </x:row>
    <x:row r="114">
      <x:c r="A114" s="18" t="n">
        <x:v>2026</x:v>
      </x:c>
      <x:c r="B114" s="18" t="n">
        <x:v>4</x:v>
      </x:c>
      <x:c r="C114" s="18" t="str">
        <x:v>Avril</x:v>
      </x:c>
      <x:c r="D114" s="18" t="str">
        <x:v>Production</x:v>
      </x:c>
      <x:c r="E114" s="18" t="str">
        <x:v>Énergie &amp; Maintenance</x:v>
      </x:c>
      <x:c r="F114" s="26" t="n">
        <x:v>47500</x:v>
      </x:c>
      <x:c r="G114" s="26" t="n">
        <x:v>52900</x:v>
      </x:c>
      <x:c r="H114" s="22" t="n">
        <x:f>G114-F114</x:f>
        <x:v>5400</x:v>
      </x:c>
      <x:c r="I114" s="24" t="n">
        <x:f>IFERROR(H114/F114,0)</x:f>
        <x:v>0.11368421052631579</x:v>
      </x:c>
      <x:c r="J114" t="str">
        <x:f>IF(H114&gt;F114*(1+HYPOTHESES!$B$8),"ALERTE",IF(H114&gt;F114,"SURVEILLANCE","MAÎTRISÉ"))</x:f>
        <x:v>MAÎTRISÉ</x:v>
      </x:c>
    </x:row>
    <x:row r="115">
      <x:c r="A115" s="18" t="n">
        <x:v>2026</x:v>
      </x:c>
      <x:c r="B115" s="18" t="n">
        <x:v>4</x:v>
      </x:c>
      <x:c r="C115" s="18" t="str">
        <x:v>Avril</x:v>
      </x:c>
      <x:c r="D115" s="18" t="str">
        <x:v>Production</x:v>
      </x:c>
      <x:c r="E115" s="18" t="str">
        <x:v>Logiciels &amp; Autres</x:v>
      </x:c>
      <x:c r="F115" s="26" t="n">
        <x:v>5800</x:v>
      </x:c>
      <x:c r="G115" s="26" t="n">
        <x:v>6200</x:v>
      </x:c>
      <x:c r="H115" s="22" t="n">
        <x:f>G115-F115</x:f>
        <x:v>400</x:v>
      </x:c>
      <x:c r="I115" s="24" t="n">
        <x:f>IFERROR(H115/F115,0)</x:f>
        <x:v>0.06896551724137931</x:v>
      </x:c>
      <x:c r="J115" t="str">
        <x:f>IF(H115&gt;F115*(1+HYPOTHESES!$B$8),"ALERTE",IF(H115&gt;F115,"SURVEILLANCE","MAÎTRISÉ"))</x:f>
        <x:v>MAÎTRISÉ</x:v>
      </x:c>
    </x:row>
    <x:row r="116">
      <x:c r="A116" s="18" t="n">
        <x:v>2026</x:v>
      </x:c>
      <x:c r="B116" s="18" t="n">
        <x:v>4</x:v>
      </x:c>
      <x:c r="C116" s="18" t="str">
        <x:v>Avril</x:v>
      </x:c>
      <x:c r="D116" s="18" t="str">
        <x:v>Logistique</x:v>
      </x:c>
      <x:c r="E116" s="18" t="str">
        <x:v>Personnel</x:v>
      </x:c>
      <x:c r="F116" s="26" t="n">
        <x:v>68600</x:v>
      </x:c>
      <x:c r="G116" s="26" t="n">
        <x:v>62500</x:v>
      </x:c>
      <x:c r="H116" s="22" t="n">
        <x:f>G116-F116</x:f>
        <x:v>-6100</x:v>
      </x:c>
      <x:c r="I116" s="24" t="n">
        <x:f>IFERROR(H116/F116,0)</x:f>
        <x:v>-0.08892128279883382</x:v>
      </x:c>
      <x:c r="J116" t="str">
        <x:f>IF(H116&gt;F116*(1+HYPOTHESES!$B$8),"ALERTE",IF(H116&gt;F116,"SURVEILLANCE","MAÎTRISÉ"))</x:f>
        <x:v>MAÎTRISÉ</x:v>
      </x:c>
    </x:row>
    <x:row r="117">
      <x:c r="A117" s="18" t="n">
        <x:v>2026</x:v>
      </x:c>
      <x:c r="B117" s="18" t="n">
        <x:v>4</x:v>
      </x:c>
      <x:c r="C117" s="18" t="str">
        <x:v>Avril</x:v>
      </x:c>
      <x:c r="D117" s="18" t="str">
        <x:v>Logistique</x:v>
      </x:c>
      <x:c r="E117" s="18" t="str">
        <x:v>Prestations externes</x:v>
      </x:c>
      <x:c r="F117" s="26" t="n">
        <x:v>40400</x:v>
      </x:c>
      <x:c r="G117" s="26" t="n">
        <x:v>37700</x:v>
      </x:c>
      <x:c r="H117" s="22" t="n">
        <x:f>G117-F117</x:f>
        <x:v>-2700</x:v>
      </x:c>
      <x:c r="I117" s="24" t="n">
        <x:f>IFERROR(H117/F117,0)</x:f>
        <x:v>-0.06683168316831684</x:v>
      </x:c>
      <x:c r="J117" t="str">
        <x:f>IF(H117&gt;F117*(1+HYPOTHESES!$B$8),"ALERTE",IF(H117&gt;F117,"SURVEILLANCE","MAÎTRISÉ"))</x:f>
        <x:v>MAÎTRISÉ</x:v>
      </x:c>
    </x:row>
    <x:row r="118">
      <x:c r="A118" s="18" t="n">
        <x:v>2026</x:v>
      </x:c>
      <x:c r="B118" s="18" t="n">
        <x:v>4</x:v>
      </x:c>
      <x:c r="C118" s="18" t="str">
        <x:v>Avril</x:v>
      </x:c>
      <x:c r="D118" s="18" t="str">
        <x:v>Logistique</x:v>
      </x:c>
      <x:c r="E118" s="18" t="str">
        <x:v>Déplacements</x:v>
      </x:c>
      <x:c r="F118" s="26" t="n">
        <x:v>8400</x:v>
      </x:c>
      <x:c r="G118" s="26" t="n">
        <x:v>8400</x:v>
      </x:c>
      <x:c r="H118" s="22" t="n">
        <x:f>G118-F118</x:f>
        <x:v>0</x:v>
      </x:c>
      <x:c r="I118" s="24" t="n">
        <x:f>IFERROR(H118/F118,0)</x:f>
        <x:v>0</x:v>
      </x:c>
      <x:c r="J118" t="str">
        <x:f>IF(H118&gt;F118*(1+HYPOTHESES!$B$8),"ALERTE",IF(H118&gt;F118,"SURVEILLANCE","MAÎTRISÉ"))</x:f>
        <x:v>MAÎTRISÉ</x:v>
      </x:c>
    </x:row>
    <x:row r="119">
      <x:c r="A119" s="18" t="n">
        <x:v>2026</x:v>
      </x:c>
      <x:c r="B119" s="18" t="n">
        <x:v>4</x:v>
      </x:c>
      <x:c r="C119" s="18" t="str">
        <x:v>Avril</x:v>
      </x:c>
      <x:c r="D119" s="18" t="str">
        <x:v>Logistique</x:v>
      </x:c>
      <x:c r="E119" s="18" t="str">
        <x:v>Énergie &amp; Maintenance</x:v>
      </x:c>
      <x:c r="F119" s="26" t="n">
        <x:v>18900</x:v>
      </x:c>
      <x:c r="G119" s="26" t="n">
        <x:v>17900</x:v>
      </x:c>
      <x:c r="H119" s="22" t="n">
        <x:f>G119-F119</x:f>
        <x:v>-1000</x:v>
      </x:c>
      <x:c r="I119" s="24" t="n">
        <x:f>IFERROR(H119/F119,0)</x:f>
        <x:v>-0.05291005291005291</x:v>
      </x:c>
      <x:c r="J119" t="str">
        <x:f>IF(H119&gt;F119*(1+HYPOTHESES!$B$8),"ALERTE",IF(H119&gt;F119,"SURVEILLANCE","MAÎTRISÉ"))</x:f>
        <x:v>MAÎTRISÉ</x:v>
      </x:c>
    </x:row>
    <x:row r="120">
      <x:c r="A120" s="18" t="n">
        <x:v>2026</x:v>
      </x:c>
      <x:c r="B120" s="18" t="n">
        <x:v>4</x:v>
      </x:c>
      <x:c r="C120" s="18" t="str">
        <x:v>Avril</x:v>
      </x:c>
      <x:c r="D120" s="18" t="str">
        <x:v>Logistique</x:v>
      </x:c>
      <x:c r="E120" s="18" t="str">
        <x:v>Logiciels &amp; Autres</x:v>
      </x:c>
      <x:c r="F120" s="26" t="n">
        <x:v>3400</x:v>
      </x:c>
      <x:c r="G120" s="26" t="n">
        <x:v>3800</x:v>
      </x:c>
      <x:c r="H120" s="22" t="n">
        <x:f>G120-F120</x:f>
        <x:v>400</x:v>
      </x:c>
      <x:c r="I120" s="24" t="n">
        <x:f>IFERROR(H120/F120,0)</x:f>
        <x:v>0.11764705882352941</x:v>
      </x:c>
      <x:c r="J120" t="str">
        <x:f>IF(H120&gt;F120*(1+HYPOTHESES!$B$8),"ALERTE",IF(H120&gt;F120,"SURVEILLANCE","MAÎTRISÉ"))</x:f>
        <x:v>MAÎTRISÉ</x:v>
      </x:c>
    </x:row>
    <x:row r="121">
      <x:c r="A121" s="18" t="n">
        <x:v>2026</x:v>
      </x:c>
      <x:c r="B121" s="18" t="n">
        <x:v>4</x:v>
      </x:c>
      <x:c r="C121" s="18" t="str">
        <x:v>Avril</x:v>
      </x:c>
      <x:c r="D121" s="18" t="str">
        <x:v>Systèmes d’information</x:v>
      </x:c>
      <x:c r="E121" s="18" t="str">
        <x:v>Personnel</x:v>
      </x:c>
      <x:c r="F121" s="26" t="n">
        <x:v>80900</x:v>
      </x:c>
      <x:c r="G121" s="26" t="n">
        <x:v>84900</x:v>
      </x:c>
      <x:c r="H121" s="22" t="n">
        <x:f>G121-F121</x:f>
        <x:v>4000</x:v>
      </x:c>
      <x:c r="I121" s="24" t="n">
        <x:f>IFERROR(H121/F121,0)</x:f>
        <x:v>0.049443757725587144</x:v>
      </x:c>
      <x:c r="J121" t="str">
        <x:f>IF(H121&gt;F121*(1+HYPOTHESES!$B$8),"ALERTE",IF(H121&gt;F121,"SURVEILLANCE","MAÎTRISÉ"))</x:f>
        <x:v>MAÎTRISÉ</x:v>
      </x:c>
    </x:row>
    <x:row r="122">
      <x:c r="A122" s="18" t="n">
        <x:v>2026</x:v>
      </x:c>
      <x:c r="B122" s="18" t="n">
        <x:v>4</x:v>
      </x:c>
      <x:c r="C122" s="18" t="str">
        <x:v>Avril</x:v>
      </x:c>
      <x:c r="D122" s="18" t="str">
        <x:v>Systèmes d’information</x:v>
      </x:c>
      <x:c r="E122" s="18" t="str">
        <x:v>Prestations externes</x:v>
      </x:c>
      <x:c r="F122" s="26" t="n">
        <x:v>19800</x:v>
      </x:c>
      <x:c r="G122" s="26" t="n">
        <x:v>20800</x:v>
      </x:c>
      <x:c r="H122" s="22" t="n">
        <x:f>G122-F122</x:f>
        <x:v>1000</x:v>
      </x:c>
      <x:c r="I122" s="24" t="n">
        <x:f>IFERROR(H122/F122,0)</x:f>
        <x:v>0.050505050505050504</x:v>
      </x:c>
      <x:c r="J122" t="str">
        <x:f>IF(H122&gt;F122*(1+HYPOTHESES!$B$8),"ALERTE",IF(H122&gt;F122,"SURVEILLANCE","MAÎTRISÉ"))</x:f>
        <x:v>MAÎTRISÉ</x:v>
      </x:c>
    </x:row>
    <x:row r="123">
      <x:c r="A123" s="18" t="n">
        <x:v>2026</x:v>
      </x:c>
      <x:c r="B123" s="18" t="n">
        <x:v>4</x:v>
      </x:c>
      <x:c r="C123" s="18" t="str">
        <x:v>Avril</x:v>
      </x:c>
      <x:c r="D123" s="18" t="str">
        <x:v>Systèmes d’information</x:v>
      </x:c>
      <x:c r="E123" s="18" t="str">
        <x:v>Déplacements</x:v>
      </x:c>
      <x:c r="F123" s="26" t="n">
        <x:v>2300</x:v>
      </x:c>
      <x:c r="G123" s="26" t="n">
        <x:v>2400</x:v>
      </x:c>
      <x:c r="H123" s="22" t="n">
        <x:f>G123-F123</x:f>
        <x:v>100</x:v>
      </x:c>
      <x:c r="I123" s="24" t="n">
        <x:f>IFERROR(H123/F123,0)</x:f>
        <x:v>0.043478260869565216</x:v>
      </x:c>
      <x:c r="J123" t="str">
        <x:f>IF(H123&gt;F123*(1+HYPOTHESES!$B$8),"ALERTE",IF(H123&gt;F123,"SURVEILLANCE","MAÎTRISÉ"))</x:f>
        <x:v>MAÎTRISÉ</x:v>
      </x:c>
    </x:row>
    <x:row r="124">
      <x:c r="A124" s="18" t="n">
        <x:v>2026</x:v>
      </x:c>
      <x:c r="B124" s="18" t="n">
        <x:v>4</x:v>
      </x:c>
      <x:c r="C124" s="18" t="str">
        <x:v>Avril</x:v>
      </x:c>
      <x:c r="D124" s="18" t="str">
        <x:v>Systèmes d’information</x:v>
      </x:c>
      <x:c r="E124" s="18" t="str">
        <x:v>Énergie &amp; Maintenance</x:v>
      </x:c>
      <x:c r="F124" s="26" t="n">
        <x:v>3100</x:v>
      </x:c>
      <x:c r="G124" s="26" t="n">
        <x:v>3100</x:v>
      </x:c>
      <x:c r="H124" s="22" t="n">
        <x:f>G124-F124</x:f>
        <x:v>0</x:v>
      </x:c>
      <x:c r="I124" s="24" t="n">
        <x:f>IFERROR(H124/F124,0)</x:f>
        <x:v>0</x:v>
      </x:c>
      <x:c r="J124" t="str">
        <x:f>IF(H124&gt;F124*(1+HYPOTHESES!$B$8),"ALERTE",IF(H124&gt;F124,"SURVEILLANCE","MAÎTRISÉ"))</x:f>
        <x:v>MAÎTRISÉ</x:v>
      </x:c>
    </x:row>
    <x:row r="125">
      <x:c r="A125" s="18" t="n">
        <x:v>2026</x:v>
      </x:c>
      <x:c r="B125" s="18" t="n">
        <x:v>4</x:v>
      </x:c>
      <x:c r="C125" s="18" t="str">
        <x:v>Avril</x:v>
      </x:c>
      <x:c r="D125" s="18" t="str">
        <x:v>Systèmes d’information</x:v>
      </x:c>
      <x:c r="E125" s="18" t="str">
        <x:v>Logiciels &amp; Autres</x:v>
      </x:c>
      <x:c r="F125" s="26" t="n">
        <x:v>44800</x:v>
      </x:c>
      <x:c r="G125" s="26" t="n">
        <x:v>48500</x:v>
      </x:c>
      <x:c r="H125" s="22" t="n">
        <x:f>G125-F125</x:f>
        <x:v>3700</x:v>
      </x:c>
      <x:c r="I125" s="24" t="n">
        <x:f>IFERROR(H125/F125,0)</x:f>
        <x:v>0.08258928571428571</x:v>
      </x:c>
      <x:c r="J125" t="str">
        <x:f>IF(H125&gt;F125*(1+HYPOTHESES!$B$8),"ALERTE",IF(H125&gt;F125,"SURVEILLANCE","MAÎTRISÉ"))</x:f>
        <x:v>MAÎTRISÉ</x:v>
      </x:c>
    </x:row>
    <x:row r="126">
      <x:c r="A126" s="18" t="n">
        <x:v>2026</x:v>
      </x:c>
      <x:c r="B126" s="18" t="n">
        <x:v>5</x:v>
      </x:c>
      <x:c r="C126" s="18" t="str">
        <x:v>Mai</x:v>
      </x:c>
      <x:c r="D126" s="18" t="str">
        <x:v>Direction générale</x:v>
      </x:c>
      <x:c r="E126" s="18" t="str">
        <x:v>Personnel</x:v>
      </x:c>
      <x:c r="F126" s="26" t="n">
        <x:v>85600</x:v>
      </x:c>
      <x:c r="G126" s="26" t="n">
        <x:v>82400</x:v>
      </x:c>
      <x:c r="H126" s="22" t="n">
        <x:f>G126-F126</x:f>
        <x:v>-3200</x:v>
      </x:c>
      <x:c r="I126" s="24" t="n">
        <x:f>IFERROR(H126/F126,0)</x:f>
        <x:v>-0.037383177570093455</x:v>
      </x:c>
      <x:c r="J126" t="str">
        <x:f>IF(H126&gt;F126*(1+HYPOTHESES!$B$8),"ALERTE",IF(H126&gt;F126,"SURVEILLANCE","MAÎTRISÉ"))</x:f>
        <x:v>MAÎTRISÉ</x:v>
      </x:c>
    </x:row>
    <x:row r="127">
      <x:c r="A127" s="18" t="n">
        <x:v>2026</x:v>
      </x:c>
      <x:c r="B127" s="18" t="n">
        <x:v>5</x:v>
      </x:c>
      <x:c r="C127" s="18" t="str">
        <x:v>Mai</x:v>
      </x:c>
      <x:c r="D127" s="18" t="str">
        <x:v>Direction générale</x:v>
      </x:c>
      <x:c r="E127" s="18" t="str">
        <x:v>Prestations externes</x:v>
      </x:c>
      <x:c r="F127" s="26" t="n">
        <x:v>41900</x:v>
      </x:c>
      <x:c r="G127" s="26" t="n">
        <x:v>41600</x:v>
      </x:c>
      <x:c r="H127" s="22" t="n">
        <x:f>G127-F127</x:f>
        <x:v>-300</x:v>
      </x:c>
      <x:c r="I127" s="24" t="n">
        <x:f>IFERROR(H127/F127,0)</x:f>
        <x:v>-0.007159904534606206</x:v>
      </x:c>
      <x:c r="J127" t="str">
        <x:f>IF(H127&gt;F127*(1+HYPOTHESES!$B$8),"ALERTE",IF(H127&gt;F127,"SURVEILLANCE","MAÎTRISÉ"))</x:f>
        <x:v>MAÎTRISÉ</x:v>
      </x:c>
    </x:row>
    <x:row r="128">
      <x:c r="A128" s="18" t="n">
        <x:v>2026</x:v>
      </x:c>
      <x:c r="B128" s="18" t="n">
        <x:v>5</x:v>
      </x:c>
      <x:c r="C128" s="18" t="str">
        <x:v>Mai</x:v>
      </x:c>
      <x:c r="D128" s="18" t="str">
        <x:v>Direction générale</x:v>
      </x:c>
      <x:c r="E128" s="18" t="str">
        <x:v>Déplacements</x:v>
      </x:c>
      <x:c r="F128" s="26" t="n">
        <x:v>7300</x:v>
      </x:c>
      <x:c r="G128" s="26" t="n">
        <x:v>7400</x:v>
      </x:c>
      <x:c r="H128" s="22" t="n">
        <x:f>G128-F128</x:f>
        <x:v>100</x:v>
      </x:c>
      <x:c r="I128" s="24" t="n">
        <x:f>IFERROR(H128/F128,0)</x:f>
        <x:v>0.0136986301369863</x:v>
      </x:c>
      <x:c r="J128" t="str">
        <x:f>IF(H128&gt;F128*(1+HYPOTHESES!$B$8),"ALERTE",IF(H128&gt;F128,"SURVEILLANCE","MAÎTRISÉ"))</x:f>
        <x:v>MAÎTRISÉ</x:v>
      </x:c>
    </x:row>
    <x:row r="129">
      <x:c r="A129" s="18" t="n">
        <x:v>2026</x:v>
      </x:c>
      <x:c r="B129" s="18" t="n">
        <x:v>5</x:v>
      </x:c>
      <x:c r="C129" s="18" t="str">
        <x:v>Mai</x:v>
      </x:c>
      <x:c r="D129" s="18" t="str">
        <x:v>Direction générale</x:v>
      </x:c>
      <x:c r="E129" s="18" t="str">
        <x:v>Énergie &amp; Maintenance</x:v>
      </x:c>
      <x:c r="F129" s="26" t="n">
        <x:v>9200</x:v>
      </x:c>
      <x:c r="G129" s="26" t="n">
        <x:v>8500</x:v>
      </x:c>
      <x:c r="H129" s="22" t="n">
        <x:f>G129-F129</x:f>
        <x:v>-700</x:v>
      </x:c>
      <x:c r="I129" s="24" t="n">
        <x:f>IFERROR(H129/F129,0)</x:f>
        <x:v>-0.07608695652173914</x:v>
      </x:c>
      <x:c r="J129" t="str">
        <x:f>IF(H129&gt;F129*(1+HYPOTHESES!$B$8),"ALERTE",IF(H129&gt;F129,"SURVEILLANCE","MAÎTRISÉ"))</x:f>
        <x:v>MAÎTRISÉ</x:v>
      </x:c>
    </x:row>
    <x:row r="130">
      <x:c r="A130" s="18" t="n">
        <x:v>2026</x:v>
      </x:c>
      <x:c r="B130" s="18" t="n">
        <x:v>5</x:v>
      </x:c>
      <x:c r="C130" s="18" t="str">
        <x:v>Mai</x:v>
      </x:c>
      <x:c r="D130" s="18" t="str">
        <x:v>Direction générale</x:v>
      </x:c>
      <x:c r="E130" s="18" t="str">
        <x:v>Logiciels &amp; Autres</x:v>
      </x:c>
      <x:c r="F130" s="26" t="n">
        <x:v>6200</x:v>
      </x:c>
      <x:c r="G130" s="26" t="n">
        <x:v>6000</x:v>
      </x:c>
      <x:c r="H130" s="22" t="n">
        <x:f>G130-F130</x:f>
        <x:v>-200</x:v>
      </x:c>
      <x:c r="I130" s="24" t="n">
        <x:f>IFERROR(H130/F130,0)</x:f>
        <x:v>-0.03225806451612903</x:v>
      </x:c>
      <x:c r="J130" t="str">
        <x:f>IF(H130&gt;F130*(1+HYPOTHESES!$B$8),"ALERTE",IF(H130&gt;F130,"SURVEILLANCE","MAÎTRISÉ"))</x:f>
        <x:v>MAÎTRISÉ</x:v>
      </x:c>
    </x:row>
    <x:row r="131">
      <x:c r="A131" s="18" t="n">
        <x:v>2026</x:v>
      </x:c>
      <x:c r="B131" s="18" t="n">
        <x:v>5</x:v>
      </x:c>
      <x:c r="C131" s="18" t="str">
        <x:v>Mai</x:v>
      </x:c>
      <x:c r="D131" s="18" t="str">
        <x:v>Finance &amp; Comptabilité</x:v>
      </x:c>
      <x:c r="E131" s="18" t="str">
        <x:v>Personnel</x:v>
      </x:c>
      <x:c r="F131" s="26" t="n">
        <x:v>62000</x:v>
      </x:c>
      <x:c r="G131" s="26" t="n">
        <x:v>59800</x:v>
      </x:c>
      <x:c r="H131" s="22" t="n">
        <x:f>G131-F131</x:f>
        <x:v>-2200</x:v>
      </x:c>
      <x:c r="I131" s="24" t="n">
        <x:f>IFERROR(H131/F131,0)</x:f>
        <x:v>-0.035483870967741936</x:v>
      </x:c>
      <x:c r="J131" t="str">
        <x:f>IF(H131&gt;F131*(1+HYPOTHESES!$B$8),"ALERTE",IF(H131&gt;F131,"SURVEILLANCE","MAÎTRISÉ"))</x:f>
        <x:v>MAÎTRISÉ</x:v>
      </x:c>
    </x:row>
    <x:row r="132">
      <x:c r="A132" s="18" t="n">
        <x:v>2026</x:v>
      </x:c>
      <x:c r="B132" s="18" t="n">
        <x:v>5</x:v>
      </x:c>
      <x:c r="C132" s="18" t="str">
        <x:v>Mai</x:v>
      </x:c>
      <x:c r="D132" s="18" t="str">
        <x:v>Finance &amp; Comptabilité</x:v>
      </x:c>
      <x:c r="E132" s="18" t="str">
        <x:v>Prestations externes</x:v>
      </x:c>
      <x:c r="F132" s="26" t="n">
        <x:v>8300</x:v>
      </x:c>
      <x:c r="G132" s="26" t="n">
        <x:v>7800</x:v>
      </x:c>
      <x:c r="H132" s="22" t="n">
        <x:f>G132-F132</x:f>
        <x:v>-500</x:v>
      </x:c>
      <x:c r="I132" s="24" t="n">
        <x:f>IFERROR(H132/F132,0)</x:f>
        <x:v>-0.060240963855421686</x:v>
      </x:c>
      <x:c r="J132" t="str">
        <x:f>IF(H132&gt;F132*(1+HYPOTHESES!$B$8),"ALERTE",IF(H132&gt;F132,"SURVEILLANCE","MAÎTRISÉ"))</x:f>
        <x:v>MAÎTRISÉ</x:v>
      </x:c>
    </x:row>
    <x:row r="133">
      <x:c r="A133" s="18" t="n">
        <x:v>2026</x:v>
      </x:c>
      <x:c r="B133" s="18" t="n">
        <x:v>5</x:v>
      </x:c>
      <x:c r="C133" s="18" t="str">
        <x:v>Mai</x:v>
      </x:c>
      <x:c r="D133" s="18" t="str">
        <x:v>Finance &amp; Comptabilité</x:v>
      </x:c>
      <x:c r="E133" s="18" t="str">
        <x:v>Déplacements</x:v>
      </x:c>
      <x:c r="F133" s="26" t="n">
        <x:v>2900</x:v>
      </x:c>
      <x:c r="G133" s="26" t="n">
        <x:v>2900</x:v>
      </x:c>
      <x:c r="H133" s="22" t="n">
        <x:f>G133-F133</x:f>
        <x:v>0</x:v>
      </x:c>
      <x:c r="I133" s="24" t="n">
        <x:f>IFERROR(H133/F133,0)</x:f>
        <x:v>0</x:v>
      </x:c>
      <x:c r="J133" t="str">
        <x:f>IF(H133&gt;F133*(1+HYPOTHESES!$B$8),"ALERTE",IF(H133&gt;F133,"SURVEILLANCE","MAÎTRISÉ"))</x:f>
        <x:v>MAÎTRISÉ</x:v>
      </x:c>
    </x:row>
    <x:row r="134">
      <x:c r="A134" s="18" t="n">
        <x:v>2026</x:v>
      </x:c>
      <x:c r="B134" s="18" t="n">
        <x:v>5</x:v>
      </x:c>
      <x:c r="C134" s="18" t="str">
        <x:v>Mai</x:v>
      </x:c>
      <x:c r="D134" s="18" t="str">
        <x:v>Finance &amp; Comptabilité</x:v>
      </x:c>
      <x:c r="E134" s="18" t="str">
        <x:v>Énergie &amp; Maintenance</x:v>
      </x:c>
      <x:c r="F134" s="26" t="n">
        <x:v>2400</x:v>
      </x:c>
      <x:c r="G134" s="26" t="n">
        <x:v>2300</x:v>
      </x:c>
      <x:c r="H134" s="22" t="n">
        <x:f>G134-F134</x:f>
        <x:v>-100</x:v>
      </x:c>
      <x:c r="I134" s="24" t="n">
        <x:f>IFERROR(H134/F134,0)</x:f>
        <x:v>-0.041666666666666664</x:v>
      </x:c>
      <x:c r="J134" t="str">
        <x:f>IF(H134&gt;F134*(1+HYPOTHESES!$B$8),"ALERTE",IF(H134&gt;F134,"SURVEILLANCE","MAÎTRISÉ"))</x:f>
        <x:v>MAÎTRISÉ</x:v>
      </x:c>
    </x:row>
    <x:row r="135">
      <x:c r="A135" s="18" t="n">
        <x:v>2026</x:v>
      </x:c>
      <x:c r="B135" s="18" t="n">
        <x:v>5</x:v>
      </x:c>
      <x:c r="C135" s="18" t="str">
        <x:v>Mai</x:v>
      </x:c>
      <x:c r="D135" s="18" t="str">
        <x:v>Finance &amp; Comptabilité</x:v>
      </x:c>
      <x:c r="E135" s="18" t="str">
        <x:v>Logiciels &amp; Autres</x:v>
      </x:c>
      <x:c r="F135" s="26" t="n">
        <x:v>5400</x:v>
      </x:c>
      <x:c r="G135" s="26" t="n">
        <x:v>5200</x:v>
      </x:c>
      <x:c r="H135" s="22" t="n">
        <x:f>G135-F135</x:f>
        <x:v>-200</x:v>
      </x:c>
      <x:c r="I135" s="24" t="n">
        <x:f>IFERROR(H135/F135,0)</x:f>
        <x:v>-0.037037037037037035</x:v>
      </x:c>
      <x:c r="J135" t="str">
        <x:f>IF(H135&gt;F135*(1+HYPOTHESES!$B$8),"ALERTE",IF(H135&gt;F135,"SURVEILLANCE","MAÎTRISÉ"))</x:f>
        <x:v>MAÎTRISÉ</x:v>
      </x:c>
    </x:row>
    <x:row r="136">
      <x:c r="A136" s="18" t="n">
        <x:v>2026</x:v>
      </x:c>
      <x:c r="B136" s="18" t="n">
        <x:v>5</x:v>
      </x:c>
      <x:c r="C136" s="18" t="str">
        <x:v>Mai</x:v>
      </x:c>
      <x:c r="D136" s="18" t="str">
        <x:v>Commercial &amp; Marketing</x:v>
      </x:c>
      <x:c r="E136" s="18" t="str">
        <x:v>Personnel</x:v>
      </x:c>
      <x:c r="F136" s="26" t="n">
        <x:v>111700</x:v>
      </x:c>
      <x:c r="G136" s="26" t="n">
        <x:v>112800</x:v>
      </x:c>
      <x:c r="H136" s="22" t="n">
        <x:f>G136-F136</x:f>
        <x:v>1100</x:v>
      </x:c>
      <x:c r="I136" s="24" t="n">
        <x:f>IFERROR(H136/F136,0)</x:f>
        <x:v>0.009847806624888093</x:v>
      </x:c>
      <x:c r="J136" t="str">
        <x:f>IF(H136&gt;F136*(1+HYPOTHESES!$B$8),"ALERTE",IF(H136&gt;F136,"SURVEILLANCE","MAÎTRISÉ"))</x:f>
        <x:v>MAÎTRISÉ</x:v>
      </x:c>
    </x:row>
    <x:row r="137">
      <x:c r="A137" s="18" t="n">
        <x:v>2026</x:v>
      </x:c>
      <x:c r="B137" s="18" t="n">
        <x:v>5</x:v>
      </x:c>
      <x:c r="C137" s="18" t="str">
        <x:v>Mai</x:v>
      </x:c>
      <x:c r="D137" s="18" t="str">
        <x:v>Commercial &amp; Marketing</x:v>
      </x:c>
      <x:c r="E137" s="18" t="str">
        <x:v>Prestations externes</x:v>
      </x:c>
      <x:c r="F137" s="26" t="n">
        <x:v>29700</x:v>
      </x:c>
      <x:c r="G137" s="26" t="n">
        <x:v>29300</x:v>
      </x:c>
      <x:c r="H137" s="22" t="n">
        <x:f>G137-F137</x:f>
        <x:v>-400</x:v>
      </x:c>
      <x:c r="I137" s="24" t="n">
        <x:f>IFERROR(H137/F137,0)</x:f>
        <x:v>-0.013468013468013467</x:v>
      </x:c>
      <x:c r="J137" t="str">
        <x:f>IF(H137&gt;F137*(1+HYPOTHESES!$B$8),"ALERTE",IF(H137&gt;F137,"SURVEILLANCE","MAÎTRISÉ"))</x:f>
        <x:v>MAÎTRISÉ</x:v>
      </x:c>
    </x:row>
    <x:row r="138">
      <x:c r="A138" s="18" t="n">
        <x:v>2026</x:v>
      </x:c>
      <x:c r="B138" s="18" t="n">
        <x:v>5</x:v>
      </x:c>
      <x:c r="C138" s="18" t="str">
        <x:v>Mai</x:v>
      </x:c>
      <x:c r="D138" s="18" t="str">
        <x:v>Commercial &amp; Marketing</x:v>
      </x:c>
      <x:c r="E138" s="18" t="str">
        <x:v>Déplacements</x:v>
      </x:c>
      <x:c r="F138" s="26" t="n">
        <x:v>19200</x:v>
      </x:c>
      <x:c r="G138" s="26" t="n">
        <x:v>21100</x:v>
      </x:c>
      <x:c r="H138" s="22" t="n">
        <x:f>G138-F138</x:f>
        <x:v>1900</x:v>
      </x:c>
      <x:c r="I138" s="24" t="n">
        <x:f>IFERROR(H138/F138,0)</x:f>
        <x:v>0.09895833333333333</x:v>
      </x:c>
      <x:c r="J138" t="str">
        <x:f>IF(H138&gt;F138*(1+HYPOTHESES!$B$8),"ALERTE",IF(H138&gt;F138,"SURVEILLANCE","MAÎTRISÉ"))</x:f>
        <x:v>MAÎTRISÉ</x:v>
      </x:c>
    </x:row>
    <x:row r="139">
      <x:c r="A139" s="18" t="n">
        <x:v>2026</x:v>
      </x:c>
      <x:c r="B139" s="18" t="n">
        <x:v>5</x:v>
      </x:c>
      <x:c r="C139" s="18" t="str">
        <x:v>Mai</x:v>
      </x:c>
      <x:c r="D139" s="18" t="str">
        <x:v>Commercial &amp; Marketing</x:v>
      </x:c>
      <x:c r="E139" s="18" t="str">
        <x:v>Énergie &amp; Maintenance</x:v>
      </x:c>
      <x:c r="F139" s="26" t="n">
        <x:v>3700</x:v>
      </x:c>
      <x:c r="G139" s="26" t="n">
        <x:v>3700</x:v>
      </x:c>
      <x:c r="H139" s="22" t="n">
        <x:f>G139-F139</x:f>
        <x:v>0</x:v>
      </x:c>
      <x:c r="I139" s="24" t="n">
        <x:f>IFERROR(H139/F139,0)</x:f>
        <x:v>0</x:v>
      </x:c>
      <x:c r="J139" t="str">
        <x:f>IF(H139&gt;F139*(1+HYPOTHESES!$B$8),"ALERTE",IF(H139&gt;F139,"SURVEILLANCE","MAÎTRISÉ"))</x:f>
        <x:v>MAÎTRISÉ</x:v>
      </x:c>
    </x:row>
    <x:row r="140">
      <x:c r="A140" s="18" t="n">
        <x:v>2026</x:v>
      </x:c>
      <x:c r="B140" s="18" t="n">
        <x:v>5</x:v>
      </x:c>
      <x:c r="C140" s="18" t="str">
        <x:v>Mai</x:v>
      </x:c>
      <x:c r="D140" s="18" t="str">
        <x:v>Commercial &amp; Marketing</x:v>
      </x:c>
      <x:c r="E140" s="18" t="str">
        <x:v>Logiciels &amp; Autres</x:v>
      </x:c>
      <x:c r="F140" s="26" t="n">
        <x:v>10200</x:v>
      </x:c>
      <x:c r="G140" s="26" t="n">
        <x:v>10200</x:v>
      </x:c>
      <x:c r="H140" s="22" t="n">
        <x:f>G140-F140</x:f>
        <x:v>0</x:v>
      </x:c>
      <x:c r="I140" s="24" t="n">
        <x:f>IFERROR(H140/F140,0)</x:f>
        <x:v>0</x:v>
      </x:c>
      <x:c r="J140" t="str">
        <x:f>IF(H140&gt;F140*(1+HYPOTHESES!$B$8),"ALERTE",IF(H140&gt;F140,"SURVEILLANCE","MAÎTRISÉ"))</x:f>
        <x:v>MAÎTRISÉ</x:v>
      </x:c>
    </x:row>
    <x:row r="141">
      <x:c r="A141" s="18" t="n">
        <x:v>2026</x:v>
      </x:c>
      <x:c r="B141" s="18" t="n">
        <x:v>5</x:v>
      </x:c>
      <x:c r="C141" s="18" t="str">
        <x:v>Mai</x:v>
      </x:c>
      <x:c r="D141" s="18" t="str">
        <x:v>Production</x:v>
      </x:c>
      <x:c r="E141" s="18" t="str">
        <x:v>Personnel</x:v>
      </x:c>
      <x:c r="F141" s="26" t="n">
        <x:v>172000</x:v>
      </x:c>
      <x:c r="G141" s="26" t="n">
        <x:v>175100</x:v>
      </x:c>
      <x:c r="H141" s="22" t="n">
        <x:f>G141-F141</x:f>
        <x:v>3100</x:v>
      </x:c>
      <x:c r="I141" s="24" t="n">
        <x:f>IFERROR(H141/F141,0)</x:f>
        <x:v>0.01802325581395349</x:v>
      </x:c>
      <x:c r="J141" t="str">
        <x:f>IF(H141&gt;F141*(1+HYPOTHESES!$B$8),"ALERTE",IF(H141&gt;F141,"SURVEILLANCE","MAÎTRISÉ"))</x:f>
        <x:v>MAÎTRISÉ</x:v>
      </x:c>
    </x:row>
    <x:row r="142">
      <x:c r="A142" s="18" t="n">
        <x:v>2026</x:v>
      </x:c>
      <x:c r="B142" s="18" t="n">
        <x:v>5</x:v>
      </x:c>
      <x:c r="C142" s="18" t="str">
        <x:v>Mai</x:v>
      </x:c>
      <x:c r="D142" s="18" t="str">
        <x:v>Production</x:v>
      </x:c>
      <x:c r="E142" s="18" t="str">
        <x:v>Prestations externes</x:v>
      </x:c>
      <x:c r="F142" s="26" t="n">
        <x:v>59400</x:v>
      </x:c>
      <x:c r="G142" s="26" t="n">
        <x:v>58800</x:v>
      </x:c>
      <x:c r="H142" s="22" t="n">
        <x:f>G142-F142</x:f>
        <x:v>-600</x:v>
      </x:c>
      <x:c r="I142" s="24" t="n">
        <x:f>IFERROR(H142/F142,0)</x:f>
        <x:v>-0.010101010101010102</x:v>
      </x:c>
      <x:c r="J142" t="str">
        <x:f>IF(H142&gt;F142*(1+HYPOTHESES!$B$8),"ALERTE",IF(H142&gt;F142,"SURVEILLANCE","MAÎTRISÉ"))</x:f>
        <x:v>MAÎTRISÉ</x:v>
      </x:c>
    </x:row>
    <x:row r="143">
      <x:c r="A143" s="18" t="n">
        <x:v>2026</x:v>
      </x:c>
      <x:c r="B143" s="18" t="n">
        <x:v>5</x:v>
      </x:c>
      <x:c r="C143" s="18" t="str">
        <x:v>Mai</x:v>
      </x:c>
      <x:c r="D143" s="18" t="str">
        <x:v>Production</x:v>
      </x:c>
      <x:c r="E143" s="18" t="str">
        <x:v>Déplacements</x:v>
      </x:c>
      <x:c r="F143" s="26" t="n">
        <x:v>7400</x:v>
      </x:c>
      <x:c r="G143" s="26" t="n">
        <x:v>7300</x:v>
      </x:c>
      <x:c r="H143" s="22" t="n">
        <x:f>G143-F143</x:f>
        <x:v>-100</x:v>
      </x:c>
      <x:c r="I143" s="24" t="n">
        <x:f>IFERROR(H143/F143,0)</x:f>
        <x:v>-0.013513513513513514</x:v>
      </x:c>
      <x:c r="J143" t="str">
        <x:f>IF(H143&gt;F143*(1+HYPOTHESES!$B$8),"ALERTE",IF(H143&gt;F143,"SURVEILLANCE","MAÎTRISÉ"))</x:f>
        <x:v>MAÎTRISÉ</x:v>
      </x:c>
    </x:row>
    <x:row r="144">
      <x:c r="A144" s="18" t="n">
        <x:v>2026</x:v>
      </x:c>
      <x:c r="B144" s="18" t="n">
        <x:v>5</x:v>
      </x:c>
      <x:c r="C144" s="18" t="str">
        <x:v>Mai</x:v>
      </x:c>
      <x:c r="D144" s="18" t="str">
        <x:v>Production</x:v>
      </x:c>
      <x:c r="E144" s="18" t="str">
        <x:v>Énergie &amp; Maintenance</x:v>
      </x:c>
      <x:c r="F144" s="26" t="n">
        <x:v>47100</x:v>
      </x:c>
      <x:c r="G144" s="26" t="n">
        <x:v>53800</x:v>
      </x:c>
      <x:c r="H144" s="22" t="n">
        <x:f>G144-F144</x:f>
        <x:v>6700</x:v>
      </x:c>
      <x:c r="I144" s="24" t="n">
        <x:f>IFERROR(H144/F144,0)</x:f>
        <x:v>0.14225053078556263</x:v>
      </x:c>
      <x:c r="J144" t="str">
        <x:f>IF(H144&gt;F144*(1+HYPOTHESES!$B$8),"ALERTE",IF(H144&gt;F144,"SURVEILLANCE","MAÎTRISÉ"))</x:f>
        <x:v>MAÎTRISÉ</x:v>
      </x:c>
    </x:row>
    <x:row r="145">
      <x:c r="A145" s="18" t="n">
        <x:v>2026</x:v>
      </x:c>
      <x:c r="B145" s="18" t="n">
        <x:v>5</x:v>
      </x:c>
      <x:c r="C145" s="18" t="str">
        <x:v>Mai</x:v>
      </x:c>
      <x:c r="D145" s="18" t="str">
        <x:v>Production</x:v>
      </x:c>
      <x:c r="E145" s="18" t="str">
        <x:v>Logiciels &amp; Autres</x:v>
      </x:c>
      <x:c r="F145" s="26" t="n">
        <x:v>5800</x:v>
      </x:c>
      <x:c r="G145" s="26" t="n">
        <x:v>5600</x:v>
      </x:c>
      <x:c r="H145" s="22" t="n">
        <x:f>G145-F145</x:f>
        <x:v>-200</x:v>
      </x:c>
      <x:c r="I145" s="24" t="n">
        <x:f>IFERROR(H145/F145,0)</x:f>
        <x:v>-0.034482758620689655</x:v>
      </x:c>
      <x:c r="J145" t="str">
        <x:f>IF(H145&gt;F145*(1+HYPOTHESES!$B$8),"ALERTE",IF(H145&gt;F145,"SURVEILLANCE","MAÎTRISÉ"))</x:f>
        <x:v>MAÎTRISÉ</x:v>
      </x:c>
    </x:row>
    <x:row r="146">
      <x:c r="A146" s="18" t="n">
        <x:v>2026</x:v>
      </x:c>
      <x:c r="B146" s="18" t="n">
        <x:v>5</x:v>
      </x:c>
      <x:c r="C146" s="18" t="str">
        <x:v>Mai</x:v>
      </x:c>
      <x:c r="D146" s="18" t="str">
        <x:v>Logistique</x:v>
      </x:c>
      <x:c r="E146" s="18" t="str">
        <x:v>Personnel</x:v>
      </x:c>
      <x:c r="F146" s="26" t="n">
        <x:v>68100</x:v>
      </x:c>
      <x:c r="G146" s="26" t="n">
        <x:v>71200</x:v>
      </x:c>
      <x:c r="H146" s="22" t="n">
        <x:f>G146-F146</x:f>
        <x:v>3100</x:v>
      </x:c>
      <x:c r="I146" s="24" t="n">
        <x:f>IFERROR(H146/F146,0)</x:f>
        <x:v>0.04552129221732746</x:v>
      </x:c>
      <x:c r="J146" t="str">
        <x:f>IF(H146&gt;F146*(1+HYPOTHESES!$B$8),"ALERTE",IF(H146&gt;F146,"SURVEILLANCE","MAÎTRISÉ"))</x:f>
        <x:v>MAÎTRISÉ</x:v>
      </x:c>
    </x:row>
    <x:row r="147">
      <x:c r="A147" s="18" t="n">
        <x:v>2026</x:v>
      </x:c>
      <x:c r="B147" s="18" t="n">
        <x:v>5</x:v>
      </x:c>
      <x:c r="C147" s="18" t="str">
        <x:v>Mai</x:v>
      </x:c>
      <x:c r="D147" s="18" t="str">
        <x:v>Logistique</x:v>
      </x:c>
      <x:c r="E147" s="18" t="str">
        <x:v>Prestations externes</x:v>
      </x:c>
      <x:c r="F147" s="26" t="n">
        <x:v>40200</x:v>
      </x:c>
      <x:c r="G147" s="26" t="n">
        <x:v>37100</x:v>
      </x:c>
      <x:c r="H147" s="22" t="n">
        <x:f>G147-F147</x:f>
        <x:v>-3100</x:v>
      </x:c>
      <x:c r="I147" s="24" t="n">
        <x:f>IFERROR(H147/F147,0)</x:f>
        <x:v>-0.07711442786069651</x:v>
      </x:c>
      <x:c r="J147" t="str">
        <x:f>IF(H147&gt;F147*(1+HYPOTHESES!$B$8),"ALERTE",IF(H147&gt;F147,"SURVEILLANCE","MAÎTRISÉ"))</x:f>
        <x:v>MAÎTRISÉ</x:v>
      </x:c>
    </x:row>
    <x:row r="148">
      <x:c r="A148" s="18" t="n">
        <x:v>2026</x:v>
      </x:c>
      <x:c r="B148" s="18" t="n">
        <x:v>5</x:v>
      </x:c>
      <x:c r="C148" s="18" t="str">
        <x:v>Mai</x:v>
      </x:c>
      <x:c r="D148" s="18" t="str">
        <x:v>Logistique</x:v>
      </x:c>
      <x:c r="E148" s="18" t="str">
        <x:v>Déplacements</x:v>
      </x:c>
      <x:c r="F148" s="26" t="n">
        <x:v>8400</x:v>
      </x:c>
      <x:c r="G148" s="26" t="n">
        <x:v>8200</x:v>
      </x:c>
      <x:c r="H148" s="22" t="n">
        <x:f>G148-F148</x:f>
        <x:v>-200</x:v>
      </x:c>
      <x:c r="I148" s="24" t="n">
        <x:f>IFERROR(H148/F148,0)</x:f>
        <x:v>-0.023809523809523808</x:v>
      </x:c>
      <x:c r="J148" t="str">
        <x:f>IF(H148&gt;F148*(1+HYPOTHESES!$B$8),"ALERTE",IF(H148&gt;F148,"SURVEILLANCE","MAÎTRISÉ"))</x:f>
        <x:v>MAÎTRISÉ</x:v>
      </x:c>
    </x:row>
    <x:row r="149">
      <x:c r="A149" s="18" t="n">
        <x:v>2026</x:v>
      </x:c>
      <x:c r="B149" s="18" t="n">
        <x:v>5</x:v>
      </x:c>
      <x:c r="C149" s="18" t="str">
        <x:v>Mai</x:v>
      </x:c>
      <x:c r="D149" s="18" t="str">
        <x:v>Logistique</x:v>
      </x:c>
      <x:c r="E149" s="18" t="str">
        <x:v>Énergie &amp; Maintenance</x:v>
      </x:c>
      <x:c r="F149" s="26" t="n">
        <x:v>18800</x:v>
      </x:c>
      <x:c r="G149" s="26" t="n">
        <x:v>19200</x:v>
      </x:c>
      <x:c r="H149" s="22" t="n">
        <x:f>G149-F149</x:f>
        <x:v>400</x:v>
      </x:c>
      <x:c r="I149" s="24" t="n">
        <x:f>IFERROR(H149/F149,0)</x:f>
        <x:v>0.02127659574468085</x:v>
      </x:c>
      <x:c r="J149" t="str">
        <x:f>IF(H149&gt;F149*(1+HYPOTHESES!$B$8),"ALERTE",IF(H149&gt;F149,"SURVEILLANCE","MAÎTRISÉ"))</x:f>
        <x:v>MAÎTRISÉ</x:v>
      </x:c>
    </x:row>
    <x:row r="150">
      <x:c r="A150" s="18" t="n">
        <x:v>2026</x:v>
      </x:c>
      <x:c r="B150" s="18" t="n">
        <x:v>5</x:v>
      </x:c>
      <x:c r="C150" s="18" t="str">
        <x:v>Mai</x:v>
      </x:c>
      <x:c r="D150" s="18" t="str">
        <x:v>Logistique</x:v>
      </x:c>
      <x:c r="E150" s="18" t="str">
        <x:v>Logiciels &amp; Autres</x:v>
      </x:c>
      <x:c r="F150" s="26" t="n">
        <x:v>3400</x:v>
      </x:c>
      <x:c r="G150" s="26" t="n">
        <x:v>3500</x:v>
      </x:c>
      <x:c r="H150" s="22" t="n">
        <x:f>G150-F150</x:f>
        <x:v>100</x:v>
      </x:c>
      <x:c r="I150" s="24" t="n">
        <x:f>IFERROR(H150/F150,0)</x:f>
        <x:v>0.029411764705882353</x:v>
      </x:c>
      <x:c r="J150" t="str">
        <x:f>IF(H150&gt;F150*(1+HYPOTHESES!$B$8),"ALERTE",IF(H150&gt;F150,"SURVEILLANCE","MAÎTRISÉ"))</x:f>
        <x:v>MAÎTRISÉ</x:v>
      </x:c>
    </x:row>
    <x:row r="151">
      <x:c r="A151" s="18" t="n">
        <x:v>2026</x:v>
      </x:c>
      <x:c r="B151" s="18" t="n">
        <x:v>5</x:v>
      </x:c>
      <x:c r="C151" s="18" t="str">
        <x:v>Mai</x:v>
      </x:c>
      <x:c r="D151" s="18" t="str">
        <x:v>Systèmes d’information</x:v>
      </x:c>
      <x:c r="E151" s="18" t="str">
        <x:v>Personnel</x:v>
      </x:c>
      <x:c r="F151" s="26" t="n">
        <x:v>80300</x:v>
      </x:c>
      <x:c r="G151" s="26" t="n">
        <x:v>76100</x:v>
      </x:c>
      <x:c r="H151" s="22" t="n">
        <x:f>G151-F151</x:f>
        <x:v>-4200</x:v>
      </x:c>
      <x:c r="I151" s="24" t="n">
        <x:f>IFERROR(H151/F151,0)</x:f>
        <x:v>-0.052303860523038606</x:v>
      </x:c>
      <x:c r="J151" t="str">
        <x:f>IF(H151&gt;F151*(1+HYPOTHESES!$B$8),"ALERTE",IF(H151&gt;F151,"SURVEILLANCE","MAÎTRISÉ"))</x:f>
        <x:v>MAÎTRISÉ</x:v>
      </x:c>
    </x:row>
    <x:row r="152">
      <x:c r="A152" s="18" t="n">
        <x:v>2026</x:v>
      </x:c>
      <x:c r="B152" s="18" t="n">
        <x:v>5</x:v>
      </x:c>
      <x:c r="C152" s="18" t="str">
        <x:v>Mai</x:v>
      </x:c>
      <x:c r="D152" s="18" t="str">
        <x:v>Systèmes d’information</x:v>
      </x:c>
      <x:c r="E152" s="18" t="str">
        <x:v>Prestations externes</x:v>
      </x:c>
      <x:c r="F152" s="26" t="n">
        <x:v>19600</x:v>
      </x:c>
      <x:c r="G152" s="26" t="n">
        <x:v>20400</x:v>
      </x:c>
      <x:c r="H152" s="22" t="n">
        <x:f>G152-F152</x:f>
        <x:v>800</x:v>
      </x:c>
      <x:c r="I152" s="24" t="n">
        <x:f>IFERROR(H152/F152,0)</x:f>
        <x:v>0.04081632653061224</x:v>
      </x:c>
      <x:c r="J152" t="str">
        <x:f>IF(H152&gt;F152*(1+HYPOTHESES!$B$8),"ALERTE",IF(H152&gt;F152,"SURVEILLANCE","MAÎTRISÉ"))</x:f>
        <x:v>MAÎTRISÉ</x:v>
      </x:c>
    </x:row>
    <x:row r="153">
      <x:c r="A153" s="18" t="n">
        <x:v>2026</x:v>
      </x:c>
      <x:c r="B153" s="18" t="n">
        <x:v>5</x:v>
      </x:c>
      <x:c r="C153" s="18" t="str">
        <x:v>Mai</x:v>
      </x:c>
      <x:c r="D153" s="18" t="str">
        <x:v>Systèmes d’information</x:v>
      </x:c>
      <x:c r="E153" s="18" t="str">
        <x:v>Déplacements</x:v>
      </x:c>
      <x:c r="F153" s="26" t="n">
        <x:v>2300</x:v>
      </x:c>
      <x:c r="G153" s="26" t="n">
        <x:v>2400</x:v>
      </x:c>
      <x:c r="H153" s="22" t="n">
        <x:f>G153-F153</x:f>
        <x:v>100</x:v>
      </x:c>
      <x:c r="I153" s="24" t="n">
        <x:f>IFERROR(H153/F153,0)</x:f>
        <x:v>0.043478260869565216</x:v>
      </x:c>
      <x:c r="J153" t="str">
        <x:f>IF(H153&gt;F153*(1+HYPOTHESES!$B$8),"ALERTE",IF(H153&gt;F153,"SURVEILLANCE","MAÎTRISÉ"))</x:f>
        <x:v>MAÎTRISÉ</x:v>
      </x:c>
    </x:row>
    <x:row r="154">
      <x:c r="A154" s="18" t="n">
        <x:v>2026</x:v>
      </x:c>
      <x:c r="B154" s="18" t="n">
        <x:v>5</x:v>
      </x:c>
      <x:c r="C154" s="18" t="str">
        <x:v>Mai</x:v>
      </x:c>
      <x:c r="D154" s="18" t="str">
        <x:v>Systèmes d’information</x:v>
      </x:c>
      <x:c r="E154" s="18" t="str">
        <x:v>Énergie &amp; Maintenance</x:v>
      </x:c>
      <x:c r="F154" s="26" t="n">
        <x:v>3100</x:v>
      </x:c>
      <x:c r="G154" s="26" t="n">
        <x:v>3100</x:v>
      </x:c>
      <x:c r="H154" s="22" t="n">
        <x:f>G154-F154</x:f>
        <x:v>0</x:v>
      </x:c>
      <x:c r="I154" s="24" t="n">
        <x:f>IFERROR(H154/F154,0)</x:f>
        <x:v>0</x:v>
      </x:c>
      <x:c r="J154" t="str">
        <x:f>IF(H154&gt;F154*(1+HYPOTHESES!$B$8),"ALERTE",IF(H154&gt;F154,"SURVEILLANCE","MAÎTRISÉ"))</x:f>
        <x:v>MAÎTRISÉ</x:v>
      </x:c>
    </x:row>
    <x:row r="155">
      <x:c r="A155" s="18" t="n">
        <x:v>2026</x:v>
      </x:c>
      <x:c r="B155" s="18" t="n">
        <x:v>5</x:v>
      </x:c>
      <x:c r="C155" s="18" t="str">
        <x:v>Mai</x:v>
      </x:c>
      <x:c r="D155" s="18" t="str">
        <x:v>Systèmes d’information</x:v>
      </x:c>
      <x:c r="E155" s="18" t="str">
        <x:v>Logiciels &amp; Autres</x:v>
      </x:c>
      <x:c r="F155" s="26" t="n">
        <x:v>44500</x:v>
      </x:c>
      <x:c r="G155" s="26" t="n">
        <x:v>48500</x:v>
      </x:c>
      <x:c r="H155" s="22" t="n">
        <x:f>G155-F155</x:f>
        <x:v>4000</x:v>
      </x:c>
      <x:c r="I155" s="24" t="n">
        <x:f>IFERROR(H155/F155,0)</x:f>
        <x:v>0.0898876404494382</x:v>
      </x:c>
      <x:c r="J155" t="str">
        <x:f>IF(H155&gt;F155*(1+HYPOTHESES!$B$8),"ALERTE",IF(H155&gt;F155,"SURVEILLANCE","MAÎTRISÉ"))</x:f>
        <x:v>MAÎTRISÉ</x:v>
      </x:c>
    </x:row>
    <x:row r="156">
      <x:c r="A156" s="18" t="n">
        <x:v>2026</x:v>
      </x:c>
      <x:c r="B156" s="18" t="n">
        <x:v>6</x:v>
      </x:c>
      <x:c r="C156" s="18" t="str">
        <x:v>Juin</x:v>
      </x:c>
      <x:c r="D156" s="18" t="str">
        <x:v>Direction générale</x:v>
      </x:c>
      <x:c r="E156" s="18" t="str">
        <x:v>Personnel</x:v>
      </x:c>
      <x:c r="F156" s="26" t="n">
        <x:v>83900</x:v>
      </x:c>
      <x:c r="G156" s="26" t="n">
        <x:v>81400</x:v>
      </x:c>
      <x:c r="H156" s="22" t="n">
        <x:f>G156-F156</x:f>
        <x:v>-2500</x:v>
      </x:c>
      <x:c r="I156" s="24" t="n">
        <x:f>IFERROR(H156/F156,0)</x:f>
        <x:v>-0.029797377830750895</x:v>
      </x:c>
      <x:c r="J156" t="str">
        <x:f>IF(H156&gt;F156*(1+HYPOTHESES!$B$8),"ALERTE",IF(H156&gt;F156,"SURVEILLANCE","MAÎTRISÉ"))</x:f>
        <x:v>MAÎTRISÉ</x:v>
      </x:c>
    </x:row>
    <x:row r="157">
      <x:c r="A157" s="18" t="n">
        <x:v>2026</x:v>
      </x:c>
      <x:c r="B157" s="18" t="n">
        <x:v>6</x:v>
      </x:c>
      <x:c r="C157" s="18" t="str">
        <x:v>Juin</x:v>
      </x:c>
      <x:c r="D157" s="18" t="str">
        <x:v>Direction générale</x:v>
      </x:c>
      <x:c r="E157" s="18" t="str">
        <x:v>Prestations externes</x:v>
      </x:c>
      <x:c r="F157" s="26" t="n">
        <x:v>41100</x:v>
      </x:c>
      <x:c r="G157" s="26" t="n">
        <x:v>40000</x:v>
      </x:c>
      <x:c r="H157" s="22" t="n">
        <x:f>G157-F157</x:f>
        <x:v>-1100</x:v>
      </x:c>
      <x:c r="I157" s="24" t="n">
        <x:f>IFERROR(H157/F157,0)</x:f>
        <x:v>-0.0267639902676399</x:v>
      </x:c>
      <x:c r="J157" t="str">
        <x:f>IF(H157&gt;F157*(1+HYPOTHESES!$B$8),"ALERTE",IF(H157&gt;F157,"SURVEILLANCE","MAÎTRISÉ"))</x:f>
        <x:v>MAÎTRISÉ</x:v>
      </x:c>
    </x:row>
    <x:row r="158">
      <x:c r="A158" s="18" t="n">
        <x:v>2026</x:v>
      </x:c>
      <x:c r="B158" s="18" t="n">
        <x:v>6</x:v>
      </x:c>
      <x:c r="C158" s="18" t="str">
        <x:v>Juin</x:v>
      </x:c>
      <x:c r="D158" s="18" t="str">
        <x:v>Direction générale</x:v>
      </x:c>
      <x:c r="E158" s="18" t="str">
        <x:v>Déplacements</x:v>
      </x:c>
      <x:c r="F158" s="26" t="n">
        <x:v>7200</x:v>
      </x:c>
      <x:c r="G158" s="26" t="n">
        <x:v>7200</x:v>
      </x:c>
      <x:c r="H158" s="22" t="n">
        <x:f>G158-F158</x:f>
        <x:v>0</x:v>
      </x:c>
      <x:c r="I158" s="24" t="n">
        <x:f>IFERROR(H158/F158,0)</x:f>
        <x:v>0</x:v>
      </x:c>
      <x:c r="J158" t="str">
        <x:f>IF(H158&gt;F158*(1+HYPOTHESES!$B$8),"ALERTE",IF(H158&gt;F158,"SURVEILLANCE","MAÎTRISÉ"))</x:f>
        <x:v>MAÎTRISÉ</x:v>
      </x:c>
    </x:row>
    <x:row r="159">
      <x:c r="A159" s="18" t="n">
        <x:v>2026</x:v>
      </x:c>
      <x:c r="B159" s="18" t="n">
        <x:v>6</x:v>
      </x:c>
      <x:c r="C159" s="18" t="str">
        <x:v>Juin</x:v>
      </x:c>
      <x:c r="D159" s="18" t="str">
        <x:v>Direction générale</x:v>
      </x:c>
      <x:c r="E159" s="18" t="str">
        <x:v>Énergie &amp; Maintenance</x:v>
      </x:c>
      <x:c r="F159" s="26" t="n">
        <x:v>9000</x:v>
      </x:c>
      <x:c r="G159" s="26" t="n">
        <x:v>9300</x:v>
      </x:c>
      <x:c r="H159" s="22" t="n">
        <x:f>G159-F159</x:f>
        <x:v>300</x:v>
      </x:c>
      <x:c r="I159" s="24" t="n">
        <x:f>IFERROR(H159/F159,0)</x:f>
        <x:v>0.03333333333333333</x:v>
      </x:c>
      <x:c r="J159" t="str">
        <x:f>IF(H159&gt;F159*(1+HYPOTHESES!$B$8),"ALERTE",IF(H159&gt;F159,"SURVEILLANCE","MAÎTRISÉ"))</x:f>
        <x:v>MAÎTRISÉ</x:v>
      </x:c>
    </x:row>
    <x:row r="160">
      <x:c r="A160" s="18" t="n">
        <x:v>2026</x:v>
      </x:c>
      <x:c r="B160" s="18" t="n">
        <x:v>6</x:v>
      </x:c>
      <x:c r="C160" s="18" t="str">
        <x:v>Juin</x:v>
      </x:c>
      <x:c r="D160" s="18" t="str">
        <x:v>Direction générale</x:v>
      </x:c>
      <x:c r="E160" s="18" t="str">
        <x:v>Logiciels &amp; Autres</x:v>
      </x:c>
      <x:c r="F160" s="26" t="n">
        <x:v>6100</x:v>
      </x:c>
      <x:c r="G160" s="26" t="n">
        <x:v>6300</x:v>
      </x:c>
      <x:c r="H160" s="22" t="n">
        <x:f>G160-F160</x:f>
        <x:v>200</x:v>
      </x:c>
      <x:c r="I160" s="24" t="n">
        <x:f>IFERROR(H160/F160,0)</x:f>
        <x:v>0.03278688524590164</x:v>
      </x:c>
      <x:c r="J160" t="str">
        <x:f>IF(H160&gt;F160*(1+HYPOTHESES!$B$8),"ALERTE",IF(H160&gt;F160,"SURVEILLANCE","MAÎTRISÉ"))</x:f>
        <x:v>MAÎTRISÉ</x:v>
      </x:c>
    </x:row>
    <x:row r="161">
      <x:c r="A161" s="18" t="n">
        <x:v>2026</x:v>
      </x:c>
      <x:c r="B161" s="18" t="n">
        <x:v>6</x:v>
      </x:c>
      <x:c r="C161" s="18" t="str">
        <x:v>Juin</x:v>
      </x:c>
      <x:c r="D161" s="18" t="str">
        <x:v>Finance &amp; Comptabilité</x:v>
      </x:c>
      <x:c r="E161" s="18" t="str">
        <x:v>Personnel</x:v>
      </x:c>
      <x:c r="F161" s="26" t="n">
        <x:v>60800</x:v>
      </x:c>
      <x:c r="G161" s="26" t="n">
        <x:v>60600</x:v>
      </x:c>
      <x:c r="H161" s="22" t="n">
        <x:f>G161-F161</x:f>
        <x:v>-200</x:v>
      </x:c>
      <x:c r="I161" s="24" t="n">
        <x:f>IFERROR(H161/F161,0)</x:f>
        <x:v>-0.003289473684210526</x:v>
      </x:c>
      <x:c r="J161" t="str">
        <x:f>IF(H161&gt;F161*(1+HYPOTHESES!$B$8),"ALERTE",IF(H161&gt;F161,"SURVEILLANCE","MAÎTRISÉ"))</x:f>
        <x:v>MAÎTRISÉ</x:v>
      </x:c>
    </x:row>
    <x:row r="162">
      <x:c r="A162" s="18" t="n">
        <x:v>2026</x:v>
      </x:c>
      <x:c r="B162" s="18" t="n">
        <x:v>6</x:v>
      </x:c>
      <x:c r="C162" s="18" t="str">
        <x:v>Juin</x:v>
      </x:c>
      <x:c r="D162" s="18" t="str">
        <x:v>Finance &amp; Comptabilité</x:v>
      </x:c>
      <x:c r="E162" s="18" t="str">
        <x:v>Prestations externes</x:v>
      </x:c>
      <x:c r="F162" s="26" t="n">
        <x:v>8100</x:v>
      </x:c>
      <x:c r="G162" s="26" t="n">
        <x:v>7700</x:v>
      </x:c>
      <x:c r="H162" s="22" t="n">
        <x:f>G162-F162</x:f>
        <x:v>-400</x:v>
      </x:c>
      <x:c r="I162" s="24" t="n">
        <x:f>IFERROR(H162/F162,0)</x:f>
        <x:v>-0.04938271604938271</x:v>
      </x:c>
      <x:c r="J162" t="str">
        <x:f>IF(H162&gt;F162*(1+HYPOTHESES!$B$8),"ALERTE",IF(H162&gt;F162,"SURVEILLANCE","MAÎTRISÉ"))</x:f>
        <x:v>MAÎTRISÉ</x:v>
      </x:c>
    </x:row>
    <x:row r="163">
      <x:c r="A163" s="18" t="n">
        <x:v>2026</x:v>
      </x:c>
      <x:c r="B163" s="18" t="n">
        <x:v>6</x:v>
      </x:c>
      <x:c r="C163" s="18" t="str">
        <x:v>Juin</x:v>
      </x:c>
      <x:c r="D163" s="18" t="str">
        <x:v>Finance &amp; Comptabilité</x:v>
      </x:c>
      <x:c r="E163" s="18" t="str">
        <x:v>Déplacements</x:v>
      </x:c>
      <x:c r="F163" s="26" t="n">
        <x:v>2800</x:v>
      </x:c>
      <x:c r="G163" s="26" t="n">
        <x:v>2900</x:v>
      </x:c>
      <x:c r="H163" s="22" t="n">
        <x:f>G163-F163</x:f>
        <x:v>100</x:v>
      </x:c>
      <x:c r="I163" s="24" t="n">
        <x:f>IFERROR(H163/F163,0)</x:f>
        <x:v>0.03571428571428571</x:v>
      </x:c>
      <x:c r="J163" t="str">
        <x:f>IF(H163&gt;F163*(1+HYPOTHESES!$B$8),"ALERTE",IF(H163&gt;F163,"SURVEILLANCE","MAÎTRISÉ"))</x:f>
        <x:v>MAÎTRISÉ</x:v>
      </x:c>
    </x:row>
    <x:row r="164">
      <x:c r="A164" s="18" t="n">
        <x:v>2026</x:v>
      </x:c>
      <x:c r="B164" s="18" t="n">
        <x:v>6</x:v>
      </x:c>
      <x:c r="C164" s="18" t="str">
        <x:v>Juin</x:v>
      </x:c>
      <x:c r="D164" s="18" t="str">
        <x:v>Finance &amp; Comptabilité</x:v>
      </x:c>
      <x:c r="E164" s="18" t="str">
        <x:v>Énergie &amp; Maintenance</x:v>
      </x:c>
      <x:c r="F164" s="26" t="n">
        <x:v>2400</x:v>
      </x:c>
      <x:c r="G164" s="26" t="n">
        <x:v>2300</x:v>
      </x:c>
      <x:c r="H164" s="22" t="n">
        <x:f>G164-F164</x:f>
        <x:v>-100</x:v>
      </x:c>
      <x:c r="I164" s="24" t="n">
        <x:f>IFERROR(H164/F164,0)</x:f>
        <x:v>-0.041666666666666664</x:v>
      </x:c>
      <x:c r="J164" t="str">
        <x:f>IF(H164&gt;F164*(1+HYPOTHESES!$B$8),"ALERTE",IF(H164&gt;F164,"SURVEILLANCE","MAÎTRISÉ"))</x:f>
        <x:v>MAÎTRISÉ</x:v>
      </x:c>
    </x:row>
    <x:row r="165">
      <x:c r="A165" s="18" t="n">
        <x:v>2026</x:v>
      </x:c>
      <x:c r="B165" s="18" t="n">
        <x:v>6</x:v>
      </x:c>
      <x:c r="C165" s="18" t="str">
        <x:v>Juin</x:v>
      </x:c>
      <x:c r="D165" s="18" t="str">
        <x:v>Finance &amp; Comptabilité</x:v>
      </x:c>
      <x:c r="E165" s="18" t="str">
        <x:v>Logiciels &amp; Autres</x:v>
      </x:c>
      <x:c r="F165" s="26" t="n">
        <x:v>5300</x:v>
      </x:c>
      <x:c r="G165" s="26" t="n">
        <x:v>5100</x:v>
      </x:c>
      <x:c r="H165" s="22" t="n">
        <x:f>G165-F165</x:f>
        <x:v>-200</x:v>
      </x:c>
      <x:c r="I165" s="24" t="n">
        <x:f>IFERROR(H165/F165,0)</x:f>
        <x:v>-0.03773584905660377</x:v>
      </x:c>
      <x:c r="J165" t="str">
        <x:f>IF(H165&gt;F165*(1+HYPOTHESES!$B$8),"ALERTE",IF(H165&gt;F165,"SURVEILLANCE","MAÎTRISÉ"))</x:f>
        <x:v>MAÎTRISÉ</x:v>
      </x:c>
    </x:row>
    <x:row r="166">
      <x:c r="A166" s="18" t="n">
        <x:v>2026</x:v>
      </x:c>
      <x:c r="B166" s="18" t="n">
        <x:v>6</x:v>
      </x:c>
      <x:c r="C166" s="18" t="str">
        <x:v>Juin</x:v>
      </x:c>
      <x:c r="D166" s="18" t="str">
        <x:v>Commercial &amp; Marketing</x:v>
      </x:c>
      <x:c r="E166" s="18" t="str">
        <x:v>Personnel</x:v>
      </x:c>
      <x:c r="F166" s="26" t="n">
        <x:v>109600</x:v>
      </x:c>
      <x:c r="G166" s="26" t="n">
        <x:v>102300</x:v>
      </x:c>
      <x:c r="H166" s="22" t="n">
        <x:f>G166-F166</x:f>
        <x:v>-7300</x:v>
      </x:c>
      <x:c r="I166" s="24" t="n">
        <x:f>IFERROR(H166/F166,0)</x:f>
        <x:v>-0.0666058394160584</x:v>
      </x:c>
      <x:c r="J166" t="str">
        <x:f>IF(H166&gt;F166*(1+HYPOTHESES!$B$8),"ALERTE",IF(H166&gt;F166,"SURVEILLANCE","MAÎTRISÉ"))</x:f>
        <x:v>MAÎTRISÉ</x:v>
      </x:c>
    </x:row>
    <x:row r="167">
      <x:c r="A167" s="18" t="n">
        <x:v>2026</x:v>
      </x:c>
      <x:c r="B167" s="18" t="n">
        <x:v>6</x:v>
      </x:c>
      <x:c r="C167" s="18" t="str">
        <x:v>Juin</x:v>
      </x:c>
      <x:c r="D167" s="18" t="str">
        <x:v>Commercial &amp; Marketing</x:v>
      </x:c>
      <x:c r="E167" s="18" t="str">
        <x:v>Prestations externes</x:v>
      </x:c>
      <x:c r="F167" s="26" t="n">
        <x:v>29100</x:v>
      </x:c>
      <x:c r="G167" s="26" t="n">
        <x:v>27300</x:v>
      </x:c>
      <x:c r="H167" s="22" t="n">
        <x:f>G167-F167</x:f>
        <x:v>-1800</x:v>
      </x:c>
      <x:c r="I167" s="24" t="n">
        <x:f>IFERROR(H167/F167,0)</x:f>
        <x:v>-0.061855670103092786</x:v>
      </x:c>
      <x:c r="J167" t="str">
        <x:f>IF(H167&gt;F167*(1+HYPOTHESES!$B$8),"ALERTE",IF(H167&gt;F167,"SURVEILLANCE","MAÎTRISÉ"))</x:f>
        <x:v>MAÎTRISÉ</x:v>
      </x:c>
    </x:row>
    <x:row r="168">
      <x:c r="A168" s="18" t="n">
        <x:v>2026</x:v>
      </x:c>
      <x:c r="B168" s="18" t="n">
        <x:v>6</x:v>
      </x:c>
      <x:c r="C168" s="18" t="str">
        <x:v>Juin</x:v>
      </x:c>
      <x:c r="D168" s="18" t="str">
        <x:v>Commercial &amp; Marketing</x:v>
      </x:c>
      <x:c r="E168" s="18" t="str">
        <x:v>Déplacements</x:v>
      </x:c>
      <x:c r="F168" s="26" t="n">
        <x:v>18800</x:v>
      </x:c>
      <x:c r="G168" s="26" t="n">
        <x:v>18800</x:v>
      </x:c>
      <x:c r="H168" s="22" t="n">
        <x:f>G168-F168</x:f>
        <x:v>0</x:v>
      </x:c>
      <x:c r="I168" s="24" t="n">
        <x:f>IFERROR(H168/F168,0)</x:f>
        <x:v>0</x:v>
      </x:c>
      <x:c r="J168" t="str">
        <x:f>IF(H168&gt;F168*(1+HYPOTHESES!$B$8),"ALERTE",IF(H168&gt;F168,"SURVEILLANCE","MAÎTRISÉ"))</x:f>
        <x:v>MAÎTRISÉ</x:v>
      </x:c>
    </x:row>
    <x:row r="169">
      <x:c r="A169" s="18" t="n">
        <x:v>2026</x:v>
      </x:c>
      <x:c r="B169" s="18" t="n">
        <x:v>6</x:v>
      </x:c>
      <x:c r="C169" s="18" t="str">
        <x:v>Juin</x:v>
      </x:c>
      <x:c r="D169" s="18" t="str">
        <x:v>Commercial &amp; Marketing</x:v>
      </x:c>
      <x:c r="E169" s="18" t="str">
        <x:v>Énergie &amp; Maintenance</x:v>
      </x:c>
      <x:c r="F169" s="26" t="n">
        <x:v>3600</x:v>
      </x:c>
      <x:c r="G169" s="26" t="n">
        <x:v>3500</x:v>
      </x:c>
      <x:c r="H169" s="22" t="n">
        <x:f>G169-F169</x:f>
        <x:v>-100</x:v>
      </x:c>
      <x:c r="I169" s="24" t="n">
        <x:f>IFERROR(H169/F169,0)</x:f>
        <x:v>-0.027777777777777776</x:v>
      </x:c>
      <x:c r="J169" t="str">
        <x:f>IF(H169&gt;F169*(1+HYPOTHESES!$B$8),"ALERTE",IF(H169&gt;F169,"SURVEILLANCE","MAÎTRISÉ"))</x:f>
        <x:v>MAÎTRISÉ</x:v>
      </x:c>
    </x:row>
    <x:row r="170">
      <x:c r="A170" s="18" t="n">
        <x:v>2026</x:v>
      </x:c>
      <x:c r="B170" s="18" t="n">
        <x:v>6</x:v>
      </x:c>
      <x:c r="C170" s="18" t="str">
        <x:v>Juin</x:v>
      </x:c>
      <x:c r="D170" s="18" t="str">
        <x:v>Commercial &amp; Marketing</x:v>
      </x:c>
      <x:c r="E170" s="18" t="str">
        <x:v>Logiciels &amp; Autres</x:v>
      </x:c>
      <x:c r="F170" s="26" t="n">
        <x:v>10000</x:v>
      </x:c>
      <x:c r="G170" s="26" t="n">
        <x:v>10500</x:v>
      </x:c>
      <x:c r="H170" s="22" t="n">
        <x:f>G170-F170</x:f>
        <x:v>500</x:v>
      </x:c>
      <x:c r="I170" s="24" t="n">
        <x:f>IFERROR(H170/F170,0)</x:f>
        <x:v>0.05</x:v>
      </x:c>
      <x:c r="J170" t="str">
        <x:f>IF(H170&gt;F170*(1+HYPOTHESES!$B$8),"ALERTE",IF(H170&gt;F170,"SURVEILLANCE","MAÎTRISÉ"))</x:f>
        <x:v>MAÎTRISÉ</x:v>
      </x:c>
    </x:row>
    <x:row r="171">
      <x:c r="A171" s="18" t="n">
        <x:v>2026</x:v>
      </x:c>
      <x:c r="B171" s="18" t="n">
        <x:v>6</x:v>
      </x:c>
      <x:c r="C171" s="18" t="str">
        <x:v>Juin</x:v>
      </x:c>
      <x:c r="D171" s="18" t="str">
        <x:v>Production</x:v>
      </x:c>
      <x:c r="E171" s="18" t="str">
        <x:v>Personnel</x:v>
      </x:c>
      <x:c r="F171" s="26" t="n">
        <x:v>168700</x:v>
      </x:c>
      <x:c r="G171" s="26" t="n">
        <x:v>171700</x:v>
      </x:c>
      <x:c r="H171" s="22" t="n">
        <x:f>G171-F171</x:f>
        <x:v>3000</x:v>
      </x:c>
      <x:c r="I171" s="24" t="n">
        <x:f>IFERROR(H171/F171,0)</x:f>
        <x:v>0.01778304682868998</x:v>
      </x:c>
      <x:c r="J171" t="str">
        <x:f>IF(H171&gt;F171*(1+HYPOTHESES!$B$8),"ALERTE",IF(H171&gt;F171,"SURVEILLANCE","MAÎTRISÉ"))</x:f>
        <x:v>MAÎTRISÉ</x:v>
      </x:c>
    </x:row>
    <x:row r="172">
      <x:c r="A172" s="18" t="n">
        <x:v>2026</x:v>
      </x:c>
      <x:c r="B172" s="18" t="n">
        <x:v>6</x:v>
      </x:c>
      <x:c r="C172" s="18" t="str">
        <x:v>Juin</x:v>
      </x:c>
      <x:c r="D172" s="18" t="str">
        <x:v>Production</x:v>
      </x:c>
      <x:c r="E172" s="18" t="str">
        <x:v>Prestations externes</x:v>
      </x:c>
      <x:c r="F172" s="26" t="n">
        <x:v>58200</x:v>
      </x:c>
      <x:c r="G172" s="26" t="n">
        <x:v>60900</x:v>
      </x:c>
      <x:c r="H172" s="22" t="n">
        <x:f>G172-F172</x:f>
        <x:v>2700</x:v>
      </x:c>
      <x:c r="I172" s="24" t="n">
        <x:f>IFERROR(H172/F172,0)</x:f>
        <x:v>0.04639175257731959</x:v>
      </x:c>
      <x:c r="J172" t="str">
        <x:f>IF(H172&gt;F172*(1+HYPOTHESES!$B$8),"ALERTE",IF(H172&gt;F172,"SURVEILLANCE","MAÎTRISÉ"))</x:f>
        <x:v>MAÎTRISÉ</x:v>
      </x:c>
    </x:row>
    <x:row r="173">
      <x:c r="A173" s="18" t="n">
        <x:v>2026</x:v>
      </x:c>
      <x:c r="B173" s="18" t="n">
        <x:v>6</x:v>
      </x:c>
      <x:c r="C173" s="18" t="str">
        <x:v>Juin</x:v>
      </x:c>
      <x:c r="D173" s="18" t="str">
        <x:v>Production</x:v>
      </x:c>
      <x:c r="E173" s="18" t="str">
        <x:v>Déplacements</x:v>
      </x:c>
      <x:c r="F173" s="26" t="n">
        <x:v>7300</x:v>
      </x:c>
      <x:c r="G173" s="26" t="n">
        <x:v>7800</x:v>
      </x:c>
      <x:c r="H173" s="22" t="n">
        <x:f>G173-F173</x:f>
        <x:v>500</x:v>
      </x:c>
      <x:c r="I173" s="24" t="n">
        <x:f>IFERROR(H173/F173,0)</x:f>
        <x:v>0.0684931506849315</x:v>
      </x:c>
      <x:c r="J173" t="str">
        <x:f>IF(H173&gt;F173*(1+HYPOTHESES!$B$8),"ALERTE",IF(H173&gt;F173,"SURVEILLANCE","MAÎTRISÉ"))</x:f>
        <x:v>MAÎTRISÉ</x:v>
      </x:c>
    </x:row>
    <x:row r="174">
      <x:c r="A174" s="18" t="n">
        <x:v>2026</x:v>
      </x:c>
      <x:c r="B174" s="18" t="n">
        <x:v>6</x:v>
      </x:c>
      <x:c r="C174" s="18" t="str">
        <x:v>Juin</x:v>
      </x:c>
      <x:c r="D174" s="18" t="str">
        <x:v>Production</x:v>
      </x:c>
      <x:c r="E174" s="18" t="str">
        <x:v>Énergie &amp; Maintenance</x:v>
      </x:c>
      <x:c r="F174" s="26" t="n">
        <x:v>46200</x:v>
      </x:c>
      <x:c r="G174" s="26" t="n">
        <x:v>51500</x:v>
      </x:c>
      <x:c r="H174" s="22" t="n">
        <x:f>G174-F174</x:f>
        <x:v>5300</x:v>
      </x:c>
      <x:c r="I174" s="24" t="n">
        <x:f>IFERROR(H174/F174,0)</x:f>
        <x:v>0.11471861471861472</x:v>
      </x:c>
      <x:c r="J174" t="str">
        <x:f>IF(H174&gt;F174*(1+HYPOTHESES!$B$8),"ALERTE",IF(H174&gt;F174,"SURVEILLANCE","MAÎTRISÉ"))</x:f>
        <x:v>MAÎTRISÉ</x:v>
      </x:c>
    </x:row>
    <x:row r="175">
      <x:c r="A175" s="18" t="n">
        <x:v>2026</x:v>
      </x:c>
      <x:c r="B175" s="18" t="n">
        <x:v>6</x:v>
      </x:c>
      <x:c r="C175" s="18" t="str">
        <x:v>Juin</x:v>
      </x:c>
      <x:c r="D175" s="18" t="str">
        <x:v>Production</x:v>
      </x:c>
      <x:c r="E175" s="18" t="str">
        <x:v>Logiciels &amp; Autres</x:v>
      </x:c>
      <x:c r="F175" s="26" t="n">
        <x:v>5700</x:v>
      </x:c>
      <x:c r="G175" s="26" t="n">
        <x:v>5900</x:v>
      </x:c>
      <x:c r="H175" s="22" t="n">
        <x:f>G175-F175</x:f>
        <x:v>200</x:v>
      </x:c>
      <x:c r="I175" s="24" t="n">
        <x:f>IFERROR(H175/F175,0)</x:f>
        <x:v>0.03508771929824561</x:v>
      </x:c>
      <x:c r="J175" t="str">
        <x:f>IF(H175&gt;F175*(1+HYPOTHESES!$B$8),"ALERTE",IF(H175&gt;F175,"SURVEILLANCE","MAÎTRISÉ"))</x:f>
        <x:v>MAÎTRISÉ</x:v>
      </x:c>
    </x:row>
    <x:row r="176">
      <x:c r="A176" s="18" t="n">
        <x:v>2026</x:v>
      </x:c>
      <x:c r="B176" s="18" t="n">
        <x:v>6</x:v>
      </x:c>
      <x:c r="C176" s="18" t="str">
        <x:v>Juin</x:v>
      </x:c>
      <x:c r="D176" s="18" t="str">
        <x:v>Logistique</x:v>
      </x:c>
      <x:c r="E176" s="18" t="str">
        <x:v>Personnel</x:v>
      </x:c>
      <x:c r="F176" s="26" t="n">
        <x:v>66800</x:v>
      </x:c>
      <x:c r="G176" s="26" t="n">
        <x:v>69000</x:v>
      </x:c>
      <x:c r="H176" s="22" t="n">
        <x:f>G176-F176</x:f>
        <x:v>2200</x:v>
      </x:c>
      <x:c r="I176" s="24" t="n">
        <x:f>IFERROR(H176/F176,0)</x:f>
        <x:v>0.03293413173652695</x:v>
      </x:c>
      <x:c r="J176" t="str">
        <x:f>IF(H176&gt;F176*(1+HYPOTHESES!$B$8),"ALERTE",IF(H176&gt;F176,"SURVEILLANCE","MAÎTRISÉ"))</x:f>
        <x:v>MAÎTRISÉ</x:v>
      </x:c>
    </x:row>
    <x:row r="177">
      <x:c r="A177" s="18" t="n">
        <x:v>2026</x:v>
      </x:c>
      <x:c r="B177" s="18" t="n">
        <x:v>6</x:v>
      </x:c>
      <x:c r="C177" s="18" t="str">
        <x:v>Juin</x:v>
      </x:c>
      <x:c r="D177" s="18" t="str">
        <x:v>Logistique</x:v>
      </x:c>
      <x:c r="E177" s="18" t="str">
        <x:v>Prestations externes</x:v>
      </x:c>
      <x:c r="F177" s="26" t="n">
        <x:v>39400</x:v>
      </x:c>
      <x:c r="G177" s="26" t="n">
        <x:v>41300</x:v>
      </x:c>
      <x:c r="H177" s="22" t="n">
        <x:f>G177-F177</x:f>
        <x:v>1900</x:v>
      </x:c>
      <x:c r="I177" s="24" t="n">
        <x:f>IFERROR(H177/F177,0)</x:f>
        <x:v>0.048223350253807105</x:v>
      </x:c>
      <x:c r="J177" t="str">
        <x:f>IF(H177&gt;F177*(1+HYPOTHESES!$B$8),"ALERTE",IF(H177&gt;F177,"SURVEILLANCE","MAÎTRISÉ"))</x:f>
        <x:v>MAÎTRISÉ</x:v>
      </x:c>
    </x:row>
    <x:row r="178">
      <x:c r="A178" s="18" t="n">
        <x:v>2026</x:v>
      </x:c>
      <x:c r="B178" s="18" t="n">
        <x:v>6</x:v>
      </x:c>
      <x:c r="C178" s="18" t="str">
        <x:v>Juin</x:v>
      </x:c>
      <x:c r="D178" s="18" t="str">
        <x:v>Logistique</x:v>
      </x:c>
      <x:c r="E178" s="18" t="str">
        <x:v>Déplacements</x:v>
      </x:c>
      <x:c r="F178" s="26" t="n">
        <x:v>8200</x:v>
      </x:c>
      <x:c r="G178" s="26" t="n">
        <x:v>8400</x:v>
      </x:c>
      <x:c r="H178" s="22" t="n">
        <x:f>G178-F178</x:f>
        <x:v>200</x:v>
      </x:c>
      <x:c r="I178" s="24" t="n">
        <x:f>IFERROR(H178/F178,0)</x:f>
        <x:v>0.024390243902439025</x:v>
      </x:c>
      <x:c r="J178" t="str">
        <x:f>IF(H178&gt;F178*(1+HYPOTHESES!$B$8),"ALERTE",IF(H178&gt;F178,"SURVEILLANCE","MAÎTRISÉ"))</x:f>
        <x:v>MAÎTRISÉ</x:v>
      </x:c>
    </x:row>
    <x:row r="179">
      <x:c r="A179" s="18" t="n">
        <x:v>2026</x:v>
      </x:c>
      <x:c r="B179" s="18" t="n">
        <x:v>6</x:v>
      </x:c>
      <x:c r="C179" s="18" t="str">
        <x:v>Juin</x:v>
      </x:c>
      <x:c r="D179" s="18" t="str">
        <x:v>Logistique</x:v>
      </x:c>
      <x:c r="E179" s="18" t="str">
        <x:v>Énergie &amp; Maintenance</x:v>
      </x:c>
      <x:c r="F179" s="26" t="n">
        <x:v>18400</x:v>
      </x:c>
      <x:c r="G179" s="26" t="n">
        <x:v>18200</x:v>
      </x:c>
      <x:c r="H179" s="22" t="n">
        <x:f>G179-F179</x:f>
        <x:v>-200</x:v>
      </x:c>
      <x:c r="I179" s="24" t="n">
        <x:f>IFERROR(H179/F179,0)</x:f>
        <x:v>-0.010869565217391304</x:v>
      </x:c>
      <x:c r="J179" t="str">
        <x:f>IF(H179&gt;F179*(1+HYPOTHESES!$B$8),"ALERTE",IF(H179&gt;F179,"SURVEILLANCE","MAÎTRISÉ"))</x:f>
        <x:v>MAÎTRISÉ</x:v>
      </x:c>
    </x:row>
    <x:row r="180">
      <x:c r="A180" s="18" t="n">
        <x:v>2026</x:v>
      </x:c>
      <x:c r="B180" s="18" t="n">
        <x:v>6</x:v>
      </x:c>
      <x:c r="C180" s="18" t="str">
        <x:v>Juin</x:v>
      </x:c>
      <x:c r="D180" s="18" t="str">
        <x:v>Logistique</x:v>
      </x:c>
      <x:c r="E180" s="18" t="str">
        <x:v>Logiciels &amp; Autres</x:v>
      </x:c>
      <x:c r="F180" s="26" t="n">
        <x:v>3300</x:v>
      </x:c>
      <x:c r="G180" s="26" t="n">
        <x:v>3600</x:v>
      </x:c>
      <x:c r="H180" s="22" t="n">
        <x:f>G180-F180</x:f>
        <x:v>300</x:v>
      </x:c>
      <x:c r="I180" s="24" t="n">
        <x:f>IFERROR(H180/F180,0)</x:f>
        <x:v>0.09090909090909091</x:v>
      </x:c>
      <x:c r="J180" t="str">
        <x:f>IF(H180&gt;F180*(1+HYPOTHESES!$B$8),"ALERTE",IF(H180&gt;F180,"SURVEILLANCE","MAÎTRISÉ"))</x:f>
        <x:v>MAÎTRISÉ</x:v>
      </x:c>
    </x:row>
    <x:row r="181">
      <x:c r="A181" s="18" t="n">
        <x:v>2026</x:v>
      </x:c>
      <x:c r="B181" s="18" t="n">
        <x:v>6</x:v>
      </x:c>
      <x:c r="C181" s="18" t="str">
        <x:v>Juin</x:v>
      </x:c>
      <x:c r="D181" s="18" t="str">
        <x:v>Systèmes d’information</x:v>
      </x:c>
      <x:c r="E181" s="18" t="str">
        <x:v>Personnel</x:v>
      </x:c>
      <x:c r="F181" s="26" t="n">
        <x:v>78800</x:v>
      </x:c>
      <x:c r="G181" s="26" t="n">
        <x:v>82200</x:v>
      </x:c>
      <x:c r="H181" s="22" t="n">
        <x:f>G181-F181</x:f>
        <x:v>3400</x:v>
      </x:c>
      <x:c r="I181" s="24" t="n">
        <x:f>IFERROR(H181/F181,0)</x:f>
        <x:v>0.04314720812182741</x:v>
      </x:c>
      <x:c r="J181" t="str">
        <x:f>IF(H181&gt;F181*(1+HYPOTHESES!$B$8),"ALERTE",IF(H181&gt;F181,"SURVEILLANCE","MAÎTRISÉ"))</x:f>
        <x:v>MAÎTRISÉ</x:v>
      </x:c>
    </x:row>
    <x:row r="182">
      <x:c r="A182" s="18" t="n">
        <x:v>2026</x:v>
      </x:c>
      <x:c r="B182" s="18" t="n">
        <x:v>6</x:v>
      </x:c>
      <x:c r="C182" s="18" t="str">
        <x:v>Juin</x:v>
      </x:c>
      <x:c r="D182" s="18" t="str">
        <x:v>Systèmes d’information</x:v>
      </x:c>
      <x:c r="E182" s="18" t="str">
        <x:v>Prestations externes</x:v>
      </x:c>
      <x:c r="F182" s="26" t="n">
        <x:v>19300</x:v>
      </x:c>
      <x:c r="G182" s="26" t="n">
        <x:v>19000</x:v>
      </x:c>
      <x:c r="H182" s="22" t="n">
        <x:f>G182-F182</x:f>
        <x:v>-300</x:v>
      </x:c>
      <x:c r="I182" s="24" t="n">
        <x:f>IFERROR(H182/F182,0)</x:f>
        <x:v>-0.015544041450777202</x:v>
      </x:c>
      <x:c r="J182" t="str">
        <x:f>IF(H182&gt;F182*(1+HYPOTHESES!$B$8),"ALERTE",IF(H182&gt;F182,"SURVEILLANCE","MAÎTRISÉ"))</x:f>
        <x:v>MAÎTRISÉ</x:v>
      </x:c>
    </x:row>
    <x:row r="183">
      <x:c r="A183" s="18" t="n">
        <x:v>2026</x:v>
      </x:c>
      <x:c r="B183" s="18" t="n">
        <x:v>6</x:v>
      </x:c>
      <x:c r="C183" s="18" t="str">
        <x:v>Juin</x:v>
      </x:c>
      <x:c r="D183" s="18" t="str">
        <x:v>Systèmes d’information</x:v>
      </x:c>
      <x:c r="E183" s="18" t="str">
        <x:v>Déplacements</x:v>
      </x:c>
      <x:c r="F183" s="26" t="n">
        <x:v>2200</x:v>
      </x:c>
      <x:c r="G183" s="26" t="n">
        <x:v>2400</x:v>
      </x:c>
      <x:c r="H183" s="22" t="n">
        <x:f>G183-F183</x:f>
        <x:v>200</x:v>
      </x:c>
      <x:c r="I183" s="24" t="n">
        <x:f>IFERROR(H183/F183,0)</x:f>
        <x:v>0.09090909090909091</x:v>
      </x:c>
      <x:c r="J183" t="str">
        <x:f>IF(H183&gt;F183*(1+HYPOTHESES!$B$8),"ALERTE",IF(H183&gt;F183,"SURVEILLANCE","MAÎTRISÉ"))</x:f>
        <x:v>MAÎTRISÉ</x:v>
      </x:c>
    </x:row>
    <x:row r="184">
      <x:c r="A184" s="18" t="n">
        <x:v>2026</x:v>
      </x:c>
      <x:c r="B184" s="18" t="n">
        <x:v>6</x:v>
      </x:c>
      <x:c r="C184" s="18" t="str">
        <x:v>Juin</x:v>
      </x:c>
      <x:c r="D184" s="18" t="str">
        <x:v>Systèmes d’information</x:v>
      </x:c>
      <x:c r="E184" s="18" t="str">
        <x:v>Énergie &amp; Maintenance</x:v>
      </x:c>
      <x:c r="F184" s="26" t="n">
        <x:v>3000</x:v>
      </x:c>
      <x:c r="G184" s="26" t="n">
        <x:v>3300</x:v>
      </x:c>
      <x:c r="H184" s="22" t="n">
        <x:f>G184-F184</x:f>
        <x:v>300</x:v>
      </x:c>
      <x:c r="I184" s="24" t="n">
        <x:f>IFERROR(H184/F184,0)</x:f>
        <x:v>0.1</x:v>
      </x:c>
      <x:c r="J184" t="str">
        <x:f>IF(H184&gt;F184*(1+HYPOTHESES!$B$8),"ALERTE",IF(H184&gt;F184,"SURVEILLANCE","MAÎTRISÉ"))</x:f>
        <x:v>MAÎTRISÉ</x:v>
      </x:c>
    </x:row>
    <x:row r="185">
      <x:c r="A185" s="18" t="n">
        <x:v>2026</x:v>
      </x:c>
      <x:c r="B185" s="18" t="n">
        <x:v>6</x:v>
      </x:c>
      <x:c r="C185" s="18" t="str">
        <x:v>Juin</x:v>
      </x:c>
      <x:c r="D185" s="18" t="str">
        <x:v>Systèmes d’information</x:v>
      </x:c>
      <x:c r="E185" s="18" t="str">
        <x:v>Logiciels &amp; Autres</x:v>
      </x:c>
      <x:c r="F185" s="26" t="n">
        <x:v>43700</x:v>
      </x:c>
      <x:c r="G185" s="26" t="n">
        <x:v>43500</x:v>
      </x:c>
      <x:c r="H185" s="22" t="n">
        <x:f>G185-F185</x:f>
        <x:v>-200</x:v>
      </x:c>
      <x:c r="I185" s="24" t="n">
        <x:f>IFERROR(H185/F185,0)</x:f>
        <x:v>-0.004576659038901602</x:v>
      </x:c>
      <x:c r="J185" t="str">
        <x:f>IF(H185&gt;F185*(1+HYPOTHESES!$B$8),"ALERTE",IF(H185&gt;F185,"SURVEILLANCE","MAÎTRISÉ"))</x:f>
        <x:v>MAÎTRISÉ</x:v>
      </x:c>
    </x:row>
    <x:row r="186">
      <x:c r="A186" s="18" t="n">
        <x:v>2026</x:v>
      </x:c>
      <x:c r="B186" s="18" t="n">
        <x:v>7</x:v>
      </x:c>
      <x:c r="C186" s="18" t="str">
        <x:v>Juillet</x:v>
      </x:c>
      <x:c r="D186" s="18" t="str">
        <x:v>Direction générale</x:v>
      </x:c>
      <x:c r="E186" s="18" t="str">
        <x:v>Personnel</x:v>
      </x:c>
      <x:c r="F186" s="26" t="n">
        <x:v>81700</x:v>
      </x:c>
      <x:c r="G186" s="26" t="n">
        <x:v>83500</x:v>
      </x:c>
      <x:c r="H186" s="22" t="n">
        <x:f>G186-F186</x:f>
        <x:v>1800</x:v>
      </x:c>
      <x:c r="I186" s="24" t="n">
        <x:f>IFERROR(H186/F186,0)</x:f>
        <x:v>0.022031823745410038</x:v>
      </x:c>
      <x:c r="J186" t="str">
        <x:f>IF(H186&gt;F186*(1+HYPOTHESES!$B$8),"ALERTE",IF(H186&gt;F186,"SURVEILLANCE","MAÎTRISÉ"))</x:f>
        <x:v>MAÎTRISÉ</x:v>
      </x:c>
    </x:row>
    <x:row r="187">
      <x:c r="A187" s="18" t="n">
        <x:v>2026</x:v>
      </x:c>
      <x:c r="B187" s="18" t="n">
        <x:v>7</x:v>
      </x:c>
      <x:c r="C187" s="18" t="str">
        <x:v>Juillet</x:v>
      </x:c>
      <x:c r="D187" s="18" t="str">
        <x:v>Direction générale</x:v>
      </x:c>
      <x:c r="E187" s="18" t="str">
        <x:v>Prestations externes</x:v>
      </x:c>
      <x:c r="F187" s="26" t="n">
        <x:v>40000</x:v>
      </x:c>
      <x:c r="G187" s="26" t="n">
        <x:v>39600</x:v>
      </x:c>
      <x:c r="H187" s="22" t="n">
        <x:f>G187-F187</x:f>
        <x:v>-400</x:v>
      </x:c>
      <x:c r="I187" s="24" t="n">
        <x:f>IFERROR(H187/F187,0)</x:f>
        <x:v>-0.01</x:v>
      </x:c>
      <x:c r="J187" t="str">
        <x:f>IF(H187&gt;F187*(1+HYPOTHESES!$B$8),"ALERTE",IF(H187&gt;F187,"SURVEILLANCE","MAÎTRISÉ"))</x:f>
        <x:v>MAÎTRISÉ</x:v>
      </x:c>
    </x:row>
    <x:row r="188">
      <x:c r="A188" s="18" t="n">
        <x:v>2026</x:v>
      </x:c>
      <x:c r="B188" s="18" t="n">
        <x:v>7</x:v>
      </x:c>
      <x:c r="C188" s="18" t="str">
        <x:v>Juillet</x:v>
      </x:c>
      <x:c r="D188" s="18" t="str">
        <x:v>Direction générale</x:v>
      </x:c>
      <x:c r="E188" s="18" t="str">
        <x:v>Déplacements</x:v>
      </x:c>
      <x:c r="F188" s="26" t="n">
        <x:v>7000</x:v>
      </x:c>
      <x:c r="G188" s="26" t="n">
        <x:v>6900</x:v>
      </x:c>
      <x:c r="H188" s="22" t="n">
        <x:f>G188-F188</x:f>
        <x:v>-100</x:v>
      </x:c>
      <x:c r="I188" s="24" t="n">
        <x:f>IFERROR(H188/F188,0)</x:f>
        <x:v>-0.014285714285714285</x:v>
      </x:c>
      <x:c r="J188" t="str">
        <x:f>IF(H188&gt;F188*(1+HYPOTHESES!$B$8),"ALERTE",IF(H188&gt;F188,"SURVEILLANCE","MAÎTRISÉ"))</x:f>
        <x:v>MAÎTRISÉ</x:v>
      </x:c>
    </x:row>
    <x:row r="189">
      <x:c r="A189" s="18" t="n">
        <x:v>2026</x:v>
      </x:c>
      <x:c r="B189" s="18" t="n">
        <x:v>7</x:v>
      </x:c>
      <x:c r="C189" s="18" t="str">
        <x:v>Juillet</x:v>
      </x:c>
      <x:c r="D189" s="18" t="str">
        <x:v>Direction générale</x:v>
      </x:c>
      <x:c r="E189" s="18" t="str">
        <x:v>Énergie &amp; Maintenance</x:v>
      </x:c>
      <x:c r="F189" s="26" t="n">
        <x:v>8800</x:v>
      </x:c>
      <x:c r="G189" s="26" t="n">
        <x:v>9400</x:v>
      </x:c>
      <x:c r="H189" s="22" t="n">
        <x:f>G189-F189</x:f>
        <x:v>600</x:v>
      </x:c>
      <x:c r="I189" s="24" t="n">
        <x:f>IFERROR(H189/F189,0)</x:f>
        <x:v>0.06818181818181818</x:v>
      </x:c>
      <x:c r="J189" t="str">
        <x:f>IF(H189&gt;F189*(1+HYPOTHESES!$B$8),"ALERTE",IF(H189&gt;F189,"SURVEILLANCE","MAÎTRISÉ"))</x:f>
        <x:v>MAÎTRISÉ</x:v>
      </x:c>
    </x:row>
    <x:row r="190">
      <x:c r="A190" s="18" t="n">
        <x:v>2026</x:v>
      </x:c>
      <x:c r="B190" s="18" t="n">
        <x:v>7</x:v>
      </x:c>
      <x:c r="C190" s="18" t="str">
        <x:v>Juillet</x:v>
      </x:c>
      <x:c r="D190" s="18" t="str">
        <x:v>Direction générale</x:v>
      </x:c>
      <x:c r="E190" s="18" t="str">
        <x:v>Logiciels &amp; Autres</x:v>
      </x:c>
      <x:c r="F190" s="26" t="n">
        <x:v>5900</x:v>
      </x:c>
      <x:c r="G190" s="26" t="n">
        <x:v>5900</x:v>
      </x:c>
      <x:c r="H190" s="22" t="n">
        <x:f>G190-F190</x:f>
        <x:v>0</x:v>
      </x:c>
      <x:c r="I190" s="24" t="n">
        <x:f>IFERROR(H190/F190,0)</x:f>
        <x:v>0</x:v>
      </x:c>
      <x:c r="J190" t="str">
        <x:f>IF(H190&gt;F190*(1+HYPOTHESES!$B$8),"ALERTE",IF(H190&gt;F190,"SURVEILLANCE","MAÎTRISÉ"))</x:f>
        <x:v>MAÎTRISÉ</x:v>
      </x:c>
    </x:row>
    <x:row r="191">
      <x:c r="A191" s="18" t="n">
        <x:v>2026</x:v>
      </x:c>
      <x:c r="B191" s="18" t="n">
        <x:v>7</x:v>
      </x:c>
      <x:c r="C191" s="18" t="str">
        <x:v>Juillet</x:v>
      </x:c>
      <x:c r="D191" s="18" t="str">
        <x:v>Finance &amp; Comptabilité</x:v>
      </x:c>
      <x:c r="E191" s="18" t="str">
        <x:v>Personnel</x:v>
      </x:c>
      <x:c r="F191" s="26" t="n">
        <x:v>59200</x:v>
      </x:c>
      <x:c r="G191" s="26" t="n">
        <x:v>55500</x:v>
      </x:c>
      <x:c r="H191" s="22" t="n">
        <x:f>G191-F191</x:f>
        <x:v>-3700</x:v>
      </x:c>
      <x:c r="I191" s="24" t="n">
        <x:f>IFERROR(H191/F191,0)</x:f>
        <x:v>-0.0625</x:v>
      </x:c>
      <x:c r="J191" t="str">
        <x:f>IF(H191&gt;F191*(1+HYPOTHESES!$B$8),"ALERTE",IF(H191&gt;F191,"SURVEILLANCE","MAÎTRISÉ"))</x:f>
        <x:v>MAÎTRISÉ</x:v>
      </x:c>
    </x:row>
    <x:row r="192">
      <x:c r="A192" s="18" t="n">
        <x:v>2026</x:v>
      </x:c>
      <x:c r="B192" s="18" t="n">
        <x:v>7</x:v>
      </x:c>
      <x:c r="C192" s="18" t="str">
        <x:v>Juillet</x:v>
      </x:c>
      <x:c r="D192" s="18" t="str">
        <x:v>Finance &amp; Comptabilité</x:v>
      </x:c>
      <x:c r="E192" s="18" t="str">
        <x:v>Prestations externes</x:v>
      </x:c>
      <x:c r="F192" s="26" t="n">
        <x:v>7900</x:v>
      </x:c>
      <x:c r="G192" s="26" t="n">
        <x:v>7500</x:v>
      </x:c>
      <x:c r="H192" s="22" t="n">
        <x:f>G192-F192</x:f>
        <x:v>-400</x:v>
      </x:c>
      <x:c r="I192" s="24" t="n">
        <x:f>IFERROR(H192/F192,0)</x:f>
        <x:v>-0.05063291139240506</x:v>
      </x:c>
      <x:c r="J192" t="str">
        <x:f>IF(H192&gt;F192*(1+HYPOTHESES!$B$8),"ALERTE",IF(H192&gt;F192,"SURVEILLANCE","MAÎTRISÉ"))</x:f>
        <x:v>MAÎTRISÉ</x:v>
      </x:c>
    </x:row>
    <x:row r="193">
      <x:c r="A193" s="18" t="n">
        <x:v>2026</x:v>
      </x:c>
      <x:c r="B193" s="18" t="n">
        <x:v>7</x:v>
      </x:c>
      <x:c r="C193" s="18" t="str">
        <x:v>Juillet</x:v>
      </x:c>
      <x:c r="D193" s="18" t="str">
        <x:v>Finance &amp; Comptabilité</x:v>
      </x:c>
      <x:c r="E193" s="18" t="str">
        <x:v>Déplacements</x:v>
      </x:c>
      <x:c r="F193" s="26" t="n">
        <x:v>2800</x:v>
      </x:c>
      <x:c r="G193" s="26" t="n">
        <x:v>2700</x:v>
      </x:c>
      <x:c r="H193" s="22" t="n">
        <x:f>G193-F193</x:f>
        <x:v>-100</x:v>
      </x:c>
      <x:c r="I193" s="24" t="n">
        <x:f>IFERROR(H193/F193,0)</x:f>
        <x:v>-0.03571428571428571</x:v>
      </x:c>
      <x:c r="J193" t="str">
        <x:f>IF(H193&gt;F193*(1+HYPOTHESES!$B$8),"ALERTE",IF(H193&gt;F193,"SURVEILLANCE","MAÎTRISÉ"))</x:f>
        <x:v>MAÎTRISÉ</x:v>
      </x:c>
    </x:row>
    <x:row r="194">
      <x:c r="A194" s="18" t="n">
        <x:v>2026</x:v>
      </x:c>
      <x:c r="B194" s="18" t="n">
        <x:v>7</x:v>
      </x:c>
      <x:c r="C194" s="18" t="str">
        <x:v>Juillet</x:v>
      </x:c>
      <x:c r="D194" s="18" t="str">
        <x:v>Finance &amp; Comptabilité</x:v>
      </x:c>
      <x:c r="E194" s="18" t="str">
        <x:v>Énergie &amp; Maintenance</x:v>
      </x:c>
      <x:c r="F194" s="26" t="n">
        <x:v>2300</x:v>
      </x:c>
      <x:c r="G194" s="26" t="n">
        <x:v>2400</x:v>
      </x:c>
      <x:c r="H194" s="22" t="n">
        <x:f>G194-F194</x:f>
        <x:v>100</x:v>
      </x:c>
      <x:c r="I194" s="24" t="n">
        <x:f>IFERROR(H194/F194,0)</x:f>
        <x:v>0.043478260869565216</x:v>
      </x:c>
      <x:c r="J194" t="str">
        <x:f>IF(H194&gt;F194*(1+HYPOTHESES!$B$8),"ALERTE",IF(H194&gt;F194,"SURVEILLANCE","MAÎTRISÉ"))</x:f>
        <x:v>MAÎTRISÉ</x:v>
      </x:c>
    </x:row>
    <x:row r="195">
      <x:c r="A195" s="18" t="n">
        <x:v>2026</x:v>
      </x:c>
      <x:c r="B195" s="18" t="n">
        <x:v>7</x:v>
      </x:c>
      <x:c r="C195" s="18" t="str">
        <x:v>Juillet</x:v>
      </x:c>
      <x:c r="D195" s="18" t="str">
        <x:v>Finance &amp; Comptabilité</x:v>
      </x:c>
      <x:c r="E195" s="18" t="str">
        <x:v>Logiciels &amp; Autres</x:v>
      </x:c>
      <x:c r="F195" s="26" t="n">
        <x:v>5200</x:v>
      </x:c>
      <x:c r="G195" s="26" t="n">
        <x:v>5500</x:v>
      </x:c>
      <x:c r="H195" s="22" t="n">
        <x:f>G195-F195</x:f>
        <x:v>300</x:v>
      </x:c>
      <x:c r="I195" s="24" t="n">
        <x:f>IFERROR(H195/F195,0)</x:f>
        <x:v>0.057692307692307696</x:v>
      </x:c>
      <x:c r="J195" t="str">
        <x:f>IF(H195&gt;F195*(1+HYPOTHESES!$B$8),"ALERTE",IF(H195&gt;F195,"SURVEILLANCE","MAÎTRISÉ"))</x:f>
        <x:v>MAÎTRISÉ</x:v>
      </x:c>
    </x:row>
    <x:row r="196">
      <x:c r="A196" s="18" t="n">
        <x:v>2026</x:v>
      </x:c>
      <x:c r="B196" s="18" t="n">
        <x:v>7</x:v>
      </x:c>
      <x:c r="C196" s="18" t="str">
        <x:v>Juillet</x:v>
      </x:c>
      <x:c r="D196" s="18" t="str">
        <x:v>Commercial &amp; Marketing</x:v>
      </x:c>
      <x:c r="E196" s="18" t="str">
        <x:v>Personnel</x:v>
      </x:c>
      <x:c r="F196" s="26" t="n">
        <x:v>106700</x:v>
      </x:c>
      <x:c r="G196" s="26" t="n">
        <x:v>111900</x:v>
      </x:c>
      <x:c r="H196" s="22" t="n">
        <x:f>G196-F196</x:f>
        <x:v>5200</x:v>
      </x:c>
      <x:c r="I196" s="24" t="n">
        <x:f>IFERROR(H196/F196,0)</x:f>
        <x:v>0.04873477038425492</x:v>
      </x:c>
      <x:c r="J196" t="str">
        <x:f>IF(H196&gt;F196*(1+HYPOTHESES!$B$8),"ALERTE",IF(H196&gt;F196,"SURVEILLANCE","MAÎTRISÉ"))</x:f>
        <x:v>MAÎTRISÉ</x:v>
      </x:c>
    </x:row>
    <x:row r="197">
      <x:c r="A197" s="18" t="n">
        <x:v>2026</x:v>
      </x:c>
      <x:c r="B197" s="18" t="n">
        <x:v>7</x:v>
      </x:c>
      <x:c r="C197" s="18" t="str">
        <x:v>Juillet</x:v>
      </x:c>
      <x:c r="D197" s="18" t="str">
        <x:v>Commercial &amp; Marketing</x:v>
      </x:c>
      <x:c r="E197" s="18" t="str">
        <x:v>Prestations externes</x:v>
      </x:c>
      <x:c r="F197" s="26" t="n">
        <x:v>28300</x:v>
      </x:c>
      <x:c r="G197" s="26" t="n">
        <x:v>29600</x:v>
      </x:c>
      <x:c r="H197" s="22" t="n">
        <x:f>G197-F197</x:f>
        <x:v>1300</x:v>
      </x:c>
      <x:c r="I197" s="24" t="n">
        <x:f>IFERROR(H197/F197,0)</x:f>
        <x:v>0.045936395759717315</x:v>
      </x:c>
      <x:c r="J197" t="str">
        <x:f>IF(H197&gt;F197*(1+HYPOTHESES!$B$8),"ALERTE",IF(H197&gt;F197,"SURVEILLANCE","MAÎTRISÉ"))</x:f>
        <x:v>MAÎTRISÉ</x:v>
      </x:c>
    </x:row>
    <x:row r="198">
      <x:c r="A198" s="18" t="n">
        <x:v>2026</x:v>
      </x:c>
      <x:c r="B198" s="18" t="n">
        <x:v>7</x:v>
      </x:c>
      <x:c r="C198" s="18" t="str">
        <x:v>Juillet</x:v>
      </x:c>
      <x:c r="D198" s="18" t="str">
        <x:v>Commercial &amp; Marketing</x:v>
      </x:c>
      <x:c r="E198" s="18" t="str">
        <x:v>Déplacements</x:v>
      </x:c>
      <x:c r="F198" s="26" t="n">
        <x:v>18300</x:v>
      </x:c>
      <x:c r="G198" s="26" t="n">
        <x:v>20300</x:v>
      </x:c>
      <x:c r="H198" s="22" t="n">
        <x:f>G198-F198</x:f>
        <x:v>2000</x:v>
      </x:c>
      <x:c r="I198" s="24" t="n">
        <x:f>IFERROR(H198/F198,0)</x:f>
        <x:v>0.1092896174863388</x:v>
      </x:c>
      <x:c r="J198" t="str">
        <x:f>IF(H198&gt;F198*(1+HYPOTHESES!$B$8),"ALERTE",IF(H198&gt;F198,"SURVEILLANCE","MAÎTRISÉ"))</x:f>
        <x:v>MAÎTRISÉ</x:v>
      </x:c>
    </x:row>
    <x:row r="199">
      <x:c r="A199" s="18" t="n">
        <x:v>2026</x:v>
      </x:c>
      <x:c r="B199" s="18" t="n">
        <x:v>7</x:v>
      </x:c>
      <x:c r="C199" s="18" t="str">
        <x:v>Juillet</x:v>
      </x:c>
      <x:c r="D199" s="18" t="str">
        <x:v>Commercial &amp; Marketing</x:v>
      </x:c>
      <x:c r="E199" s="18" t="str">
        <x:v>Énergie &amp; Maintenance</x:v>
      </x:c>
      <x:c r="F199" s="26" t="n">
        <x:v>3500</x:v>
      </x:c>
      <x:c r="G199" s="26" t="n">
        <x:v>3700</x:v>
      </x:c>
      <x:c r="H199" s="22" t="n">
        <x:f>G199-F199</x:f>
        <x:v>200</x:v>
      </x:c>
      <x:c r="I199" s="24" t="n">
        <x:f>IFERROR(H199/F199,0)</x:f>
        <x:v>0.05714285714285714</x:v>
      </x:c>
      <x:c r="J199" t="str">
        <x:f>IF(H199&gt;F199*(1+HYPOTHESES!$B$8),"ALERTE",IF(H199&gt;F199,"SURVEILLANCE","MAÎTRISÉ"))</x:f>
        <x:v>MAÎTRISÉ</x:v>
      </x:c>
    </x:row>
    <x:row r="200">
      <x:c r="A200" s="18" t="n">
        <x:v>2026</x:v>
      </x:c>
      <x:c r="B200" s="18" t="n">
        <x:v>7</x:v>
      </x:c>
      <x:c r="C200" s="18" t="str">
        <x:v>Juillet</x:v>
      </x:c>
      <x:c r="D200" s="18" t="str">
        <x:v>Commercial &amp; Marketing</x:v>
      </x:c>
      <x:c r="E200" s="18" t="str">
        <x:v>Logiciels &amp; Autres</x:v>
      </x:c>
      <x:c r="F200" s="26" t="n">
        <x:v>9800</x:v>
      </x:c>
      <x:c r="G200" s="26" t="n">
        <x:v>10700</x:v>
      </x:c>
      <x:c r="H200" s="22" t="n">
        <x:f>G200-F200</x:f>
        <x:v>900</x:v>
      </x:c>
      <x:c r="I200" s="24" t="n">
        <x:f>IFERROR(H200/F200,0)</x:f>
        <x:v>0.09183673469387756</x:v>
      </x:c>
      <x:c r="J200" t="str">
        <x:f>IF(H200&gt;F200*(1+HYPOTHESES!$B$8),"ALERTE",IF(H200&gt;F200,"SURVEILLANCE","MAÎTRISÉ"))</x:f>
        <x:v>MAÎTRISÉ</x:v>
      </x:c>
    </x:row>
    <x:row r="201">
      <x:c r="A201" s="18" t="n">
        <x:v>2026</x:v>
      </x:c>
      <x:c r="B201" s="18" t="n">
        <x:v>7</x:v>
      </x:c>
      <x:c r="C201" s="18" t="str">
        <x:v>Juillet</x:v>
      </x:c>
      <x:c r="D201" s="18" t="str">
        <x:v>Production</x:v>
      </x:c>
      <x:c r="E201" s="18" t="str">
        <x:v>Personnel</x:v>
      </x:c>
      <x:c r="F201" s="26" t="n">
        <x:v>164200</x:v>
      </x:c>
      <x:c r="G201" s="26" t="n">
        <x:v>175500</x:v>
      </x:c>
      <x:c r="H201" s="22" t="n">
        <x:f>G201-F201</x:f>
        <x:v>11300</x:v>
      </x:c>
      <x:c r="I201" s="24" t="n">
        <x:f>IFERROR(H201/F201,0)</x:f>
        <x:v>0.06881851400730817</x:v>
      </x:c>
      <x:c r="J201" t="str">
        <x:f>IF(H201&gt;F201*(1+HYPOTHESES!$B$8),"ALERTE",IF(H201&gt;F201,"SURVEILLANCE","MAÎTRISÉ"))</x:f>
        <x:v>MAÎTRISÉ</x:v>
      </x:c>
    </x:row>
    <x:row r="202">
      <x:c r="A202" s="18" t="n">
        <x:v>2026</x:v>
      </x:c>
      <x:c r="B202" s="18" t="n">
        <x:v>7</x:v>
      </x:c>
      <x:c r="C202" s="18" t="str">
        <x:v>Juillet</x:v>
      </x:c>
      <x:c r="D202" s="18" t="str">
        <x:v>Production</x:v>
      </x:c>
      <x:c r="E202" s="18" t="str">
        <x:v>Prestations externes</x:v>
      </x:c>
      <x:c r="F202" s="26" t="n">
        <x:v>56700</x:v>
      </x:c>
      <x:c r="G202" s="26" t="n">
        <x:v>55600</x:v>
      </x:c>
      <x:c r="H202" s="22" t="n">
        <x:f>G202-F202</x:f>
        <x:v>-1100</x:v>
      </x:c>
      <x:c r="I202" s="24" t="n">
        <x:f>IFERROR(H202/F202,0)</x:f>
        <x:v>-0.019400352733686066</x:v>
      </x:c>
      <x:c r="J202" t="str">
        <x:f>IF(H202&gt;F202*(1+HYPOTHESES!$B$8),"ALERTE",IF(H202&gt;F202,"SURVEILLANCE","MAÎTRISÉ"))</x:f>
        <x:v>MAÎTRISÉ</x:v>
      </x:c>
    </x:row>
    <x:row r="203">
      <x:c r="A203" s="18" t="n">
        <x:v>2026</x:v>
      </x:c>
      <x:c r="B203" s="18" t="n">
        <x:v>7</x:v>
      </x:c>
      <x:c r="C203" s="18" t="str">
        <x:v>Juillet</x:v>
      </x:c>
      <x:c r="D203" s="18" t="str">
        <x:v>Production</x:v>
      </x:c>
      <x:c r="E203" s="18" t="str">
        <x:v>Déplacements</x:v>
      </x:c>
      <x:c r="F203" s="26" t="n">
        <x:v>7100</x:v>
      </x:c>
      <x:c r="G203" s="26" t="n">
        <x:v>7200</x:v>
      </x:c>
      <x:c r="H203" s="22" t="n">
        <x:f>G203-F203</x:f>
        <x:v>100</x:v>
      </x:c>
      <x:c r="I203" s="24" t="n">
        <x:f>IFERROR(H203/F203,0)</x:f>
        <x:v>0.014084507042253521</x:v>
      </x:c>
      <x:c r="J203" t="str">
        <x:f>IF(H203&gt;F203*(1+HYPOTHESES!$B$8),"ALERTE",IF(H203&gt;F203,"SURVEILLANCE","MAÎTRISÉ"))</x:f>
        <x:v>MAÎTRISÉ</x:v>
      </x:c>
    </x:row>
    <x:row r="204">
      <x:c r="A204" s="18" t="n">
        <x:v>2026</x:v>
      </x:c>
      <x:c r="B204" s="18" t="n">
        <x:v>7</x:v>
      </x:c>
      <x:c r="C204" s="18" t="str">
        <x:v>Juillet</x:v>
      </x:c>
      <x:c r="D204" s="18" t="str">
        <x:v>Production</x:v>
      </x:c>
      <x:c r="E204" s="18" t="str">
        <x:v>Énergie &amp; Maintenance</x:v>
      </x:c>
      <x:c r="F204" s="26" t="n">
        <x:v>45000</x:v>
      </x:c>
      <x:c r="G204" s="26" t="n">
        <x:v>50900</x:v>
      </x:c>
      <x:c r="H204" s="22" t="n">
        <x:f>G204-F204</x:f>
        <x:v>5900</x:v>
      </x:c>
      <x:c r="I204" s="24" t="n">
        <x:f>IFERROR(H204/F204,0)</x:f>
        <x:v>0.13111111111111112</x:v>
      </x:c>
      <x:c r="J204" t="str">
        <x:f>IF(H204&gt;F204*(1+HYPOTHESES!$B$8),"ALERTE",IF(H204&gt;F204,"SURVEILLANCE","MAÎTRISÉ"))</x:f>
        <x:v>MAÎTRISÉ</x:v>
      </x:c>
    </x:row>
    <x:row r="205">
      <x:c r="A205" s="18" t="n">
        <x:v>2026</x:v>
      </x:c>
      <x:c r="B205" s="18" t="n">
        <x:v>7</x:v>
      </x:c>
      <x:c r="C205" s="18" t="str">
        <x:v>Juillet</x:v>
      </x:c>
      <x:c r="D205" s="18" t="str">
        <x:v>Production</x:v>
      </x:c>
      <x:c r="E205" s="18" t="str">
        <x:v>Logiciels &amp; Autres</x:v>
      </x:c>
      <x:c r="F205" s="26" t="n">
        <x:v>5500</x:v>
      </x:c>
      <x:c r="G205" s="26" t="n">
        <x:v>5500</x:v>
      </x:c>
      <x:c r="H205" s="22" t="n">
        <x:f>G205-F205</x:f>
        <x:v>0</x:v>
      </x:c>
      <x:c r="I205" s="24" t="n">
        <x:f>IFERROR(H205/F205,0)</x:f>
        <x:v>0</x:v>
      </x:c>
      <x:c r="J205" t="str">
        <x:f>IF(H205&gt;F205*(1+HYPOTHESES!$B$8),"ALERTE",IF(H205&gt;F205,"SURVEILLANCE","MAÎTRISÉ"))</x:f>
        <x:v>MAÎTRISÉ</x:v>
      </x:c>
    </x:row>
    <x:row r="206">
      <x:c r="A206" s="18" t="n">
        <x:v>2026</x:v>
      </x:c>
      <x:c r="B206" s="18" t="n">
        <x:v>7</x:v>
      </x:c>
      <x:c r="C206" s="18" t="str">
        <x:v>Juillet</x:v>
      </x:c>
      <x:c r="D206" s="18" t="str">
        <x:v>Logistique</x:v>
      </x:c>
      <x:c r="E206" s="18" t="str">
        <x:v>Personnel</x:v>
      </x:c>
      <x:c r="F206" s="26" t="n">
        <x:v>65000</x:v>
      </x:c>
      <x:c r="G206" s="26" t="n">
        <x:v>65800</x:v>
      </x:c>
      <x:c r="H206" s="22" t="n">
        <x:f>G206-F206</x:f>
        <x:v>800</x:v>
      </x:c>
      <x:c r="I206" s="24" t="n">
        <x:f>IFERROR(H206/F206,0)</x:f>
        <x:v>0.012307692307692308</x:v>
      </x:c>
      <x:c r="J206" t="str">
        <x:f>IF(H206&gt;F206*(1+HYPOTHESES!$B$8),"ALERTE",IF(H206&gt;F206,"SURVEILLANCE","MAÎTRISÉ"))</x:f>
        <x:v>MAÎTRISÉ</x:v>
      </x:c>
    </x:row>
    <x:row r="207">
      <x:c r="A207" s="18" t="n">
        <x:v>2026</x:v>
      </x:c>
      <x:c r="B207" s="18" t="n">
        <x:v>7</x:v>
      </x:c>
      <x:c r="C207" s="18" t="str">
        <x:v>Juillet</x:v>
      </x:c>
      <x:c r="D207" s="18" t="str">
        <x:v>Logistique</x:v>
      </x:c>
      <x:c r="E207" s="18" t="str">
        <x:v>Prestations externes</x:v>
      </x:c>
      <x:c r="F207" s="26" t="n">
        <x:v>38300</x:v>
      </x:c>
      <x:c r="G207" s="26" t="n">
        <x:v>37900</x:v>
      </x:c>
      <x:c r="H207" s="22" t="n">
        <x:f>G207-F207</x:f>
        <x:v>-400</x:v>
      </x:c>
      <x:c r="I207" s="24" t="n">
        <x:f>IFERROR(H207/F207,0)</x:f>
        <x:v>-0.010443864229765013</x:v>
      </x:c>
      <x:c r="J207" t="str">
        <x:f>IF(H207&gt;F207*(1+HYPOTHESES!$B$8),"ALERTE",IF(H207&gt;F207,"SURVEILLANCE","MAÎTRISÉ"))</x:f>
        <x:v>MAÎTRISÉ</x:v>
      </x:c>
    </x:row>
    <x:row r="208">
      <x:c r="A208" s="18" t="n">
        <x:v>2026</x:v>
      </x:c>
      <x:c r="B208" s="18" t="n">
        <x:v>7</x:v>
      </x:c>
      <x:c r="C208" s="18" t="str">
        <x:v>Juillet</x:v>
      </x:c>
      <x:c r="D208" s="18" t="str">
        <x:v>Logistique</x:v>
      </x:c>
      <x:c r="E208" s="18" t="str">
        <x:v>Déplacements</x:v>
      </x:c>
      <x:c r="F208" s="26" t="n">
        <x:v>8000</x:v>
      </x:c>
      <x:c r="G208" s="26" t="n">
        <x:v>8600</x:v>
      </x:c>
      <x:c r="H208" s="22" t="n">
        <x:f>G208-F208</x:f>
        <x:v>600</x:v>
      </x:c>
      <x:c r="I208" s="24" t="n">
        <x:f>IFERROR(H208/F208,0)</x:f>
        <x:v>0.075</x:v>
      </x:c>
      <x:c r="J208" t="str">
        <x:f>IF(H208&gt;F208*(1+HYPOTHESES!$B$8),"ALERTE",IF(H208&gt;F208,"SURVEILLANCE","MAÎTRISÉ"))</x:f>
        <x:v>MAÎTRISÉ</x:v>
      </x:c>
    </x:row>
    <x:row r="209">
      <x:c r="A209" s="18" t="n">
        <x:v>2026</x:v>
      </x:c>
      <x:c r="B209" s="18" t="n">
        <x:v>7</x:v>
      </x:c>
      <x:c r="C209" s="18" t="str">
        <x:v>Juillet</x:v>
      </x:c>
      <x:c r="D209" s="18" t="str">
        <x:v>Logistique</x:v>
      </x:c>
      <x:c r="E209" s="18" t="str">
        <x:v>Énergie &amp; Maintenance</x:v>
      </x:c>
      <x:c r="F209" s="26" t="n">
        <x:v>17900</x:v>
      </x:c>
      <x:c r="G209" s="26" t="n">
        <x:v>18200</x:v>
      </x:c>
      <x:c r="H209" s="22" t="n">
        <x:f>G209-F209</x:f>
        <x:v>300</x:v>
      </x:c>
      <x:c r="I209" s="24" t="n">
        <x:f>IFERROR(H209/F209,0)</x:f>
        <x:v>0.01675977653631285</x:v>
      </x:c>
      <x:c r="J209" t="str">
        <x:f>IF(H209&gt;F209*(1+HYPOTHESES!$B$8),"ALERTE",IF(H209&gt;F209,"SURVEILLANCE","MAÎTRISÉ"))</x:f>
        <x:v>MAÎTRISÉ</x:v>
      </x:c>
    </x:row>
    <x:row r="210">
      <x:c r="A210" s="18" t="n">
        <x:v>2026</x:v>
      </x:c>
      <x:c r="B210" s="18" t="n">
        <x:v>7</x:v>
      </x:c>
      <x:c r="C210" s="18" t="str">
        <x:v>Juillet</x:v>
      </x:c>
      <x:c r="D210" s="18" t="str">
        <x:v>Logistique</x:v>
      </x:c>
      <x:c r="E210" s="18" t="str">
        <x:v>Logiciels &amp; Autres</x:v>
      </x:c>
      <x:c r="F210" s="26" t="n">
        <x:v>3200</x:v>
      </x:c>
      <x:c r="G210" s="26" t="n">
        <x:v>3500</x:v>
      </x:c>
      <x:c r="H210" s="22" t="n">
        <x:f>G210-F210</x:f>
        <x:v>300</x:v>
      </x:c>
      <x:c r="I210" s="24" t="n">
        <x:f>IFERROR(H210/F210,0)</x:f>
        <x:v>0.09375</x:v>
      </x:c>
      <x:c r="J210" t="str">
        <x:f>IF(H210&gt;F210*(1+HYPOTHESES!$B$8),"ALERTE",IF(H210&gt;F210,"SURVEILLANCE","MAÎTRISÉ"))</x:f>
        <x:v>MAÎTRISÉ</x:v>
      </x:c>
    </x:row>
    <x:row r="211">
      <x:c r="A211" s="18" t="n">
        <x:v>2026</x:v>
      </x:c>
      <x:c r="B211" s="18" t="n">
        <x:v>7</x:v>
      </x:c>
      <x:c r="C211" s="18" t="str">
        <x:v>Juillet</x:v>
      </x:c>
      <x:c r="D211" s="18" t="str">
        <x:v>Systèmes d’information</x:v>
      </x:c>
      <x:c r="E211" s="18" t="str">
        <x:v>Personnel</x:v>
      </x:c>
      <x:c r="F211" s="26" t="n">
        <x:v>76700</x:v>
      </x:c>
      <x:c r="G211" s="26" t="n">
        <x:v>81900</x:v>
      </x:c>
      <x:c r="H211" s="22" t="n">
        <x:f>G211-F211</x:f>
        <x:v>5200</x:v>
      </x:c>
      <x:c r="I211" s="24" t="n">
        <x:f>IFERROR(H211/F211,0)</x:f>
        <x:v>0.06779661016949153</x:v>
      </x:c>
      <x:c r="J211" t="str">
        <x:f>IF(H211&gt;F211*(1+HYPOTHESES!$B$8),"ALERTE",IF(H211&gt;F211,"SURVEILLANCE","MAÎTRISÉ"))</x:f>
        <x:v>MAÎTRISÉ</x:v>
      </x:c>
    </x:row>
    <x:row r="212">
      <x:c r="A212" s="18" t="n">
        <x:v>2026</x:v>
      </x:c>
      <x:c r="B212" s="18" t="n">
        <x:v>7</x:v>
      </x:c>
      <x:c r="C212" s="18" t="str">
        <x:v>Juillet</x:v>
      </x:c>
      <x:c r="D212" s="18" t="str">
        <x:v>Systèmes d’information</x:v>
      </x:c>
      <x:c r="E212" s="18" t="str">
        <x:v>Prestations externes</x:v>
      </x:c>
      <x:c r="F212" s="26" t="n">
        <x:v>18800</x:v>
      </x:c>
      <x:c r="G212" s="26" t="n">
        <x:v>19100</x:v>
      </x:c>
      <x:c r="H212" s="22" t="n">
        <x:f>G212-F212</x:f>
        <x:v>300</x:v>
      </x:c>
      <x:c r="I212" s="24" t="n">
        <x:f>IFERROR(H212/F212,0)</x:f>
        <x:v>0.015957446808510637</x:v>
      </x:c>
      <x:c r="J212" t="str">
        <x:f>IF(H212&gt;F212*(1+HYPOTHESES!$B$8),"ALERTE",IF(H212&gt;F212,"SURVEILLANCE","MAÎTRISÉ"))</x:f>
        <x:v>MAÎTRISÉ</x:v>
      </x:c>
    </x:row>
    <x:row r="213">
      <x:c r="A213" s="18" t="n">
        <x:v>2026</x:v>
      </x:c>
      <x:c r="B213" s="18" t="n">
        <x:v>7</x:v>
      </x:c>
      <x:c r="C213" s="18" t="str">
        <x:v>Juillet</x:v>
      </x:c>
      <x:c r="D213" s="18" t="str">
        <x:v>Systèmes d’information</x:v>
      </x:c>
      <x:c r="E213" s="18" t="str">
        <x:v>Déplacements</x:v>
      </x:c>
      <x:c r="F213" s="26" t="n">
        <x:v>2200</x:v>
      </x:c>
      <x:c r="G213" s="26" t="n">
        <x:v>2300</x:v>
      </x:c>
      <x:c r="H213" s="22" t="n">
        <x:f>G213-F213</x:f>
        <x:v>100</x:v>
      </x:c>
      <x:c r="I213" s="24" t="n">
        <x:f>IFERROR(H213/F213,0)</x:f>
        <x:v>0.045454545454545456</x:v>
      </x:c>
      <x:c r="J213" t="str">
        <x:f>IF(H213&gt;F213*(1+HYPOTHESES!$B$8),"ALERTE",IF(H213&gt;F213,"SURVEILLANCE","MAÎTRISÉ"))</x:f>
        <x:v>MAÎTRISÉ</x:v>
      </x:c>
    </x:row>
    <x:row r="214">
      <x:c r="A214" s="18" t="n">
        <x:v>2026</x:v>
      </x:c>
      <x:c r="B214" s="18" t="n">
        <x:v>7</x:v>
      </x:c>
      <x:c r="C214" s="18" t="str">
        <x:v>Juillet</x:v>
      </x:c>
      <x:c r="D214" s="18" t="str">
        <x:v>Systèmes d’information</x:v>
      </x:c>
      <x:c r="E214" s="18" t="str">
        <x:v>Énergie &amp; Maintenance</x:v>
      </x:c>
      <x:c r="F214" s="26" t="n">
        <x:v>2900</x:v>
      </x:c>
      <x:c r="G214" s="26" t="n">
        <x:v>2900</x:v>
      </x:c>
      <x:c r="H214" s="22" t="n">
        <x:f>G214-F214</x:f>
        <x:v>0</x:v>
      </x:c>
      <x:c r="I214" s="24" t="n">
        <x:f>IFERROR(H214/F214,0)</x:f>
        <x:v>0</x:v>
      </x:c>
      <x:c r="J214" t="str">
        <x:f>IF(H214&gt;F214*(1+HYPOTHESES!$B$8),"ALERTE",IF(H214&gt;F214,"SURVEILLANCE","MAÎTRISÉ"))</x:f>
        <x:v>MAÎTRISÉ</x:v>
      </x:c>
    </x:row>
    <x:row r="215">
      <x:c r="A215" s="18" t="n">
        <x:v>2026</x:v>
      </x:c>
      <x:c r="B215" s="18" t="n">
        <x:v>7</x:v>
      </x:c>
      <x:c r="C215" s="18" t="str">
        <x:v>Juillet</x:v>
      </x:c>
      <x:c r="D215" s="18" t="str">
        <x:v>Systèmes d’information</x:v>
      </x:c>
      <x:c r="E215" s="18" t="str">
        <x:v>Logiciels &amp; Autres</x:v>
      </x:c>
      <x:c r="F215" s="26" t="n">
        <x:v>42500</x:v>
      </x:c>
      <x:c r="G215" s="26" t="n">
        <x:v>43400</x:v>
      </x:c>
      <x:c r="H215" s="22" t="n">
        <x:f>G215-F215</x:f>
        <x:v>900</x:v>
      </x:c>
      <x:c r="I215" s="24" t="n">
        <x:f>IFERROR(H215/F215,0)</x:f>
        <x:v>0.021176470588235293</x:v>
      </x:c>
      <x:c r="J215" t="str">
        <x:f>IF(H215&gt;F215*(1+HYPOTHESES!$B$8),"ALERTE",IF(H215&gt;F215,"SURVEILLANCE","MAÎTRISÉ"))</x:f>
        <x:v>MAÎTRISÉ</x:v>
      </x:c>
    </x:row>
    <x:row r="216">
      <x:c r="A216" s="18" t="n">
        <x:v>2026</x:v>
      </x:c>
      <x:c r="B216" s="18" t="n">
        <x:v>8</x:v>
      </x:c>
      <x:c r="C216" s="18" t="str">
        <x:v>Août</x:v>
      </x:c>
      <x:c r="D216" s="18" t="str">
        <x:v>Direction générale</x:v>
      </x:c>
      <x:c r="E216" s="18" t="str">
        <x:v>Personnel</x:v>
      </x:c>
      <x:c r="F216" s="26" t="n">
        <x:v>79400</x:v>
      </x:c>
      <x:c r="G216" s="26" t="n">
        <x:v>76500</x:v>
      </x:c>
      <x:c r="H216" s="22" t="n">
        <x:f>G216-F216</x:f>
        <x:v>-2900</x:v>
      </x:c>
      <x:c r="I216" s="24" t="n">
        <x:f>IFERROR(H216/F216,0)</x:f>
        <x:v>-0.036523929471032744</x:v>
      </x:c>
      <x:c r="J216" t="str">
        <x:f>IF(H216&gt;F216*(1+HYPOTHESES!$B$8),"ALERTE",IF(H216&gt;F216,"SURVEILLANCE","MAÎTRISÉ"))</x:f>
        <x:v>MAÎTRISÉ</x:v>
      </x:c>
    </x:row>
    <x:row r="217">
      <x:c r="A217" s="18" t="n">
        <x:v>2026</x:v>
      </x:c>
      <x:c r="B217" s="18" t="n">
        <x:v>8</x:v>
      </x:c>
      <x:c r="C217" s="18" t="str">
        <x:v>Août</x:v>
      </x:c>
      <x:c r="D217" s="18" t="str">
        <x:v>Direction générale</x:v>
      </x:c>
      <x:c r="E217" s="18" t="str">
        <x:v>Prestations externes</x:v>
      </x:c>
      <x:c r="F217" s="26" t="n">
        <x:v>38900</x:v>
      </x:c>
      <x:c r="G217" s="26" t="n">
        <x:v>39400</x:v>
      </x:c>
      <x:c r="H217" s="22" t="n">
        <x:f>G217-F217</x:f>
        <x:v>500</x:v>
      </x:c>
      <x:c r="I217" s="24" t="n">
        <x:f>IFERROR(H217/F217,0)</x:f>
        <x:v>0.012853470437017995</x:v>
      </x:c>
      <x:c r="J217" t="str">
        <x:f>IF(H217&gt;F217*(1+HYPOTHESES!$B$8),"ALERTE",IF(H217&gt;F217,"SURVEILLANCE","MAÎTRISÉ"))</x:f>
        <x:v>MAÎTRISÉ</x:v>
      </x:c>
    </x:row>
    <x:row r="218">
      <x:c r="A218" s="18" t="n">
        <x:v>2026</x:v>
      </x:c>
      <x:c r="B218" s="18" t="n">
        <x:v>8</x:v>
      </x:c>
      <x:c r="C218" s="18" t="str">
        <x:v>Août</x:v>
      </x:c>
      <x:c r="D218" s="18" t="str">
        <x:v>Direction générale</x:v>
      </x:c>
      <x:c r="E218" s="18" t="str">
        <x:v>Déplacements</x:v>
      </x:c>
      <x:c r="F218" s="26" t="n">
        <x:v>6800</x:v>
      </x:c>
      <x:c r="G218" s="26" t="n">
        <x:v>6600</x:v>
      </x:c>
      <x:c r="H218" s="22" t="n">
        <x:f>G218-F218</x:f>
        <x:v>-200</x:v>
      </x:c>
      <x:c r="I218" s="24" t="n">
        <x:f>IFERROR(H218/F218,0)</x:f>
        <x:v>-0.029411764705882353</x:v>
      </x:c>
      <x:c r="J218" t="str">
        <x:f>IF(H218&gt;F218*(1+HYPOTHESES!$B$8),"ALERTE",IF(H218&gt;F218,"SURVEILLANCE","MAÎTRISÉ"))</x:f>
        <x:v>MAÎTRISÉ</x:v>
      </x:c>
    </x:row>
    <x:row r="219">
      <x:c r="A219" s="18" t="n">
        <x:v>2026</x:v>
      </x:c>
      <x:c r="B219" s="18" t="n">
        <x:v>8</x:v>
      </x:c>
      <x:c r="C219" s="18" t="str">
        <x:v>Août</x:v>
      </x:c>
      <x:c r="D219" s="18" t="str">
        <x:v>Direction générale</x:v>
      </x:c>
      <x:c r="E219" s="18" t="str">
        <x:v>Énergie &amp; Maintenance</x:v>
      </x:c>
      <x:c r="F219" s="26" t="n">
        <x:v>8500</x:v>
      </x:c>
      <x:c r="G219" s="26" t="n">
        <x:v>8700</x:v>
      </x:c>
      <x:c r="H219" s="22" t="n">
        <x:f>G219-F219</x:f>
        <x:v>200</x:v>
      </x:c>
      <x:c r="I219" s="24" t="n">
        <x:f>IFERROR(H219/F219,0)</x:f>
        <x:v>0.023529411764705882</x:v>
      </x:c>
      <x:c r="J219" t="str">
        <x:f>IF(H219&gt;F219*(1+HYPOTHESES!$B$8),"ALERTE",IF(H219&gt;F219,"SURVEILLANCE","MAÎTRISÉ"))</x:f>
        <x:v>MAÎTRISÉ</x:v>
      </x:c>
    </x:row>
    <x:row r="220">
      <x:c r="A220" s="18" t="n">
        <x:v>2026</x:v>
      </x:c>
      <x:c r="B220" s="18" t="n">
        <x:v>8</x:v>
      </x:c>
      <x:c r="C220" s="18" t="str">
        <x:v>Août</x:v>
      </x:c>
      <x:c r="D220" s="18" t="str">
        <x:v>Direction générale</x:v>
      </x:c>
      <x:c r="E220" s="18" t="str">
        <x:v>Logiciels &amp; Autres</x:v>
      </x:c>
      <x:c r="F220" s="26" t="n">
        <x:v>5800</x:v>
      </x:c>
      <x:c r="G220" s="26" t="n">
        <x:v>6000</x:v>
      </x:c>
      <x:c r="H220" s="22" t="n">
        <x:f>G220-F220</x:f>
        <x:v>200</x:v>
      </x:c>
      <x:c r="I220" s="24" t="n">
        <x:f>IFERROR(H220/F220,0)</x:f>
        <x:v>0.034482758620689655</x:v>
      </x:c>
      <x:c r="J220" t="str">
        <x:f>IF(H220&gt;F220*(1+HYPOTHESES!$B$8),"ALERTE",IF(H220&gt;F220,"SURVEILLANCE","MAÎTRISÉ"))</x:f>
        <x:v>MAÎTRISÉ</x:v>
      </x:c>
    </x:row>
    <x:row r="221">
      <x:c r="A221" s="18" t="n">
        <x:v>2026</x:v>
      </x:c>
      <x:c r="B221" s="18" t="n">
        <x:v>8</x:v>
      </x:c>
      <x:c r="C221" s="18" t="str">
        <x:v>Août</x:v>
      </x:c>
      <x:c r="D221" s="18" t="str">
        <x:v>Finance &amp; Comptabilité</x:v>
      </x:c>
      <x:c r="E221" s="18" t="str">
        <x:v>Personnel</x:v>
      </x:c>
      <x:c r="F221" s="26" t="n">
        <x:v>57500</x:v>
      </x:c>
      <x:c r="G221" s="26" t="n">
        <x:v>53700</x:v>
      </x:c>
      <x:c r="H221" s="22" t="n">
        <x:f>G221-F221</x:f>
        <x:v>-3800</x:v>
      </x:c>
      <x:c r="I221" s="24" t="n">
        <x:f>IFERROR(H221/F221,0)</x:f>
        <x:v>-0.06608695652173913</x:v>
      </x:c>
      <x:c r="J221" t="str">
        <x:f>IF(H221&gt;F221*(1+HYPOTHESES!$B$8),"ALERTE",IF(H221&gt;F221,"SURVEILLANCE","MAÎTRISÉ"))</x:f>
        <x:v>MAÎTRISÉ</x:v>
      </x:c>
    </x:row>
    <x:row r="222">
      <x:c r="A222" s="18" t="n">
        <x:v>2026</x:v>
      </x:c>
      <x:c r="B222" s="18" t="n">
        <x:v>8</x:v>
      </x:c>
      <x:c r="C222" s="18" t="str">
        <x:v>Août</x:v>
      </x:c>
      <x:c r="D222" s="18" t="str">
        <x:v>Finance &amp; Comptabilité</x:v>
      </x:c>
      <x:c r="E222" s="18" t="str">
        <x:v>Prestations externes</x:v>
      </x:c>
      <x:c r="F222" s="26" t="n">
        <x:v>7700</x:v>
      </x:c>
      <x:c r="G222" s="26" t="n">
        <x:v>7800</x:v>
      </x:c>
      <x:c r="H222" s="22" t="n">
        <x:f>G222-F222</x:f>
        <x:v>100</x:v>
      </x:c>
      <x:c r="I222" s="24" t="n">
        <x:f>IFERROR(H222/F222,0)</x:f>
        <x:v>0.012987012987012988</x:v>
      </x:c>
      <x:c r="J222" t="str">
        <x:f>IF(H222&gt;F222*(1+HYPOTHESES!$B$8),"ALERTE",IF(H222&gt;F222,"SURVEILLANCE","MAÎTRISÉ"))</x:f>
        <x:v>MAÎTRISÉ</x:v>
      </x:c>
    </x:row>
    <x:row r="223">
      <x:c r="A223" s="18" t="n">
        <x:v>2026</x:v>
      </x:c>
      <x:c r="B223" s="18" t="n">
        <x:v>8</x:v>
      </x:c>
      <x:c r="C223" s="18" t="str">
        <x:v>Août</x:v>
      </x:c>
      <x:c r="D223" s="18" t="str">
        <x:v>Finance &amp; Comptabilité</x:v>
      </x:c>
      <x:c r="E223" s="18" t="str">
        <x:v>Déplacements</x:v>
      </x:c>
      <x:c r="F223" s="26" t="n">
        <x:v>2700</x:v>
      </x:c>
      <x:c r="G223" s="26" t="n">
        <x:v>2600</x:v>
      </x:c>
      <x:c r="H223" s="22" t="n">
        <x:f>G223-F223</x:f>
        <x:v>-100</x:v>
      </x:c>
      <x:c r="I223" s="24" t="n">
        <x:f>IFERROR(H223/F223,0)</x:f>
        <x:v>-0.037037037037037035</x:v>
      </x:c>
      <x:c r="J223" t="str">
        <x:f>IF(H223&gt;F223*(1+HYPOTHESES!$B$8),"ALERTE",IF(H223&gt;F223,"SURVEILLANCE","MAÎTRISÉ"))</x:f>
        <x:v>MAÎTRISÉ</x:v>
      </x:c>
    </x:row>
    <x:row r="224">
      <x:c r="A224" s="18" t="n">
        <x:v>2026</x:v>
      </x:c>
      <x:c r="B224" s="18" t="n">
        <x:v>8</x:v>
      </x:c>
      <x:c r="C224" s="18" t="str">
        <x:v>Août</x:v>
      </x:c>
      <x:c r="D224" s="18" t="str">
        <x:v>Finance &amp; Comptabilité</x:v>
      </x:c>
      <x:c r="E224" s="18" t="str">
        <x:v>Énergie &amp; Maintenance</x:v>
      </x:c>
      <x:c r="F224" s="26" t="n">
        <x:v>2300</x:v>
      </x:c>
      <x:c r="G224" s="26" t="n">
        <x:v>2300</x:v>
      </x:c>
      <x:c r="H224" s="22" t="n">
        <x:f>G224-F224</x:f>
        <x:v>0</x:v>
      </x:c>
      <x:c r="I224" s="24" t="n">
        <x:f>IFERROR(H224/F224,0)</x:f>
        <x:v>0</x:v>
      </x:c>
      <x:c r="J224" t="str">
        <x:f>IF(H224&gt;F224*(1+HYPOTHESES!$B$8),"ALERTE",IF(H224&gt;F224,"SURVEILLANCE","MAÎTRISÉ"))</x:f>
        <x:v>MAÎTRISÉ</x:v>
      </x:c>
    </x:row>
    <x:row r="225">
      <x:c r="A225" s="18" t="n">
        <x:v>2026</x:v>
      </x:c>
      <x:c r="B225" s="18" t="n">
        <x:v>8</x:v>
      </x:c>
      <x:c r="C225" s="18" t="str">
        <x:v>Août</x:v>
      </x:c>
      <x:c r="D225" s="18" t="str">
        <x:v>Finance &amp; Comptabilité</x:v>
      </x:c>
      <x:c r="E225" s="18" t="str">
        <x:v>Logiciels &amp; Autres</x:v>
      </x:c>
      <x:c r="F225" s="26" t="n">
        <x:v>5000</x:v>
      </x:c>
      <x:c r="G225" s="26" t="n">
        <x:v>4900</x:v>
      </x:c>
      <x:c r="H225" s="22" t="n">
        <x:f>G225-F225</x:f>
        <x:v>-100</x:v>
      </x:c>
      <x:c r="I225" s="24" t="n">
        <x:f>IFERROR(H225/F225,0)</x:f>
        <x:v>-0.02</x:v>
      </x:c>
      <x:c r="J225" t="str">
        <x:f>IF(H225&gt;F225*(1+HYPOTHESES!$B$8),"ALERTE",IF(H225&gt;F225,"SURVEILLANCE","MAÎTRISÉ"))</x:f>
        <x:v>MAÎTRISÉ</x:v>
      </x:c>
    </x:row>
    <x:row r="226">
      <x:c r="A226" s="18" t="n">
        <x:v>2026</x:v>
      </x:c>
      <x:c r="B226" s="18" t="n">
        <x:v>8</x:v>
      </x:c>
      <x:c r="C226" s="18" t="str">
        <x:v>Août</x:v>
      </x:c>
      <x:c r="D226" s="18" t="str">
        <x:v>Commercial &amp; Marketing</x:v>
      </x:c>
      <x:c r="E226" s="18" t="str">
        <x:v>Personnel</x:v>
      </x:c>
      <x:c r="F226" s="26" t="n">
        <x:v>103700</x:v>
      </x:c>
      <x:c r="G226" s="26" t="n">
        <x:v>100200</x:v>
      </x:c>
      <x:c r="H226" s="22" t="n">
        <x:f>G226-F226</x:f>
        <x:v>-3500</x:v>
      </x:c>
      <x:c r="I226" s="24" t="n">
        <x:f>IFERROR(H226/F226,0)</x:f>
        <x:v>-0.033751205400192864</x:v>
      </x:c>
      <x:c r="J226" t="str">
        <x:f>IF(H226&gt;F226*(1+HYPOTHESES!$B$8),"ALERTE",IF(H226&gt;F226,"SURVEILLANCE","MAÎTRISÉ"))</x:f>
        <x:v>MAÎTRISÉ</x:v>
      </x:c>
    </x:row>
    <x:row r="227">
      <x:c r="A227" s="18" t="n">
        <x:v>2026</x:v>
      </x:c>
      <x:c r="B227" s="18" t="n">
        <x:v>8</x:v>
      </x:c>
      <x:c r="C227" s="18" t="str">
        <x:v>Août</x:v>
      </x:c>
      <x:c r="D227" s="18" t="str">
        <x:v>Commercial &amp; Marketing</x:v>
      </x:c>
      <x:c r="E227" s="18" t="str">
        <x:v>Prestations externes</x:v>
      </x:c>
      <x:c r="F227" s="26" t="n">
        <x:v>27600</x:v>
      </x:c>
      <x:c r="G227" s="26" t="n">
        <x:v>29600</x:v>
      </x:c>
      <x:c r="H227" s="22" t="n">
        <x:f>G227-F227</x:f>
        <x:v>2000</x:v>
      </x:c>
      <x:c r="I227" s="24" t="n">
        <x:f>IFERROR(H227/F227,0)</x:f>
        <x:v>0.07246376811594203</x:v>
      </x:c>
      <x:c r="J227" t="str">
        <x:f>IF(H227&gt;F227*(1+HYPOTHESES!$B$8),"ALERTE",IF(H227&gt;F227,"SURVEILLANCE","MAÎTRISÉ"))</x:f>
        <x:v>MAÎTRISÉ</x:v>
      </x:c>
    </x:row>
    <x:row r="228">
      <x:c r="A228" s="18" t="n">
        <x:v>2026</x:v>
      </x:c>
      <x:c r="B228" s="18" t="n">
        <x:v>8</x:v>
      </x:c>
      <x:c r="C228" s="18" t="str">
        <x:v>Août</x:v>
      </x:c>
      <x:c r="D228" s="18" t="str">
        <x:v>Commercial &amp; Marketing</x:v>
      </x:c>
      <x:c r="E228" s="18" t="str">
        <x:v>Déplacements</x:v>
      </x:c>
      <x:c r="F228" s="26" t="n">
        <x:v>17800</x:v>
      </x:c>
      <x:c r="G228" s="26" t="n">
        <x:v>18700</x:v>
      </x:c>
      <x:c r="H228" s="22" t="n">
        <x:f>G228-F228</x:f>
        <x:v>900</x:v>
      </x:c>
      <x:c r="I228" s="24" t="n">
        <x:f>IFERROR(H228/F228,0)</x:f>
        <x:v>0.05056179775280899</x:v>
      </x:c>
      <x:c r="J228" t="str">
        <x:f>IF(H228&gt;F228*(1+HYPOTHESES!$B$8),"ALERTE",IF(H228&gt;F228,"SURVEILLANCE","MAÎTRISÉ"))</x:f>
        <x:v>MAÎTRISÉ</x:v>
      </x:c>
    </x:row>
    <x:row r="229">
      <x:c r="A229" s="18" t="n">
        <x:v>2026</x:v>
      </x:c>
      <x:c r="B229" s="18" t="n">
        <x:v>8</x:v>
      </x:c>
      <x:c r="C229" s="18" t="str">
        <x:v>Août</x:v>
      </x:c>
      <x:c r="D229" s="18" t="str">
        <x:v>Commercial &amp; Marketing</x:v>
      </x:c>
      <x:c r="E229" s="18" t="str">
        <x:v>Énergie &amp; Maintenance</x:v>
      </x:c>
      <x:c r="F229" s="26" t="n">
        <x:v>3400</x:v>
      </x:c>
      <x:c r="G229" s="26" t="n">
        <x:v>3500</x:v>
      </x:c>
      <x:c r="H229" s="22" t="n">
        <x:f>G229-F229</x:f>
        <x:v>100</x:v>
      </x:c>
      <x:c r="I229" s="24" t="n">
        <x:f>IFERROR(H229/F229,0)</x:f>
        <x:v>0.029411764705882353</x:v>
      </x:c>
      <x:c r="J229" t="str">
        <x:f>IF(H229&gt;F229*(1+HYPOTHESES!$B$8),"ALERTE",IF(H229&gt;F229,"SURVEILLANCE","MAÎTRISÉ"))</x:f>
        <x:v>MAÎTRISÉ</x:v>
      </x:c>
    </x:row>
    <x:row r="230">
      <x:c r="A230" s="18" t="n">
        <x:v>2026</x:v>
      </x:c>
      <x:c r="B230" s="18" t="n">
        <x:v>8</x:v>
      </x:c>
      <x:c r="C230" s="18" t="str">
        <x:v>Août</x:v>
      </x:c>
      <x:c r="D230" s="18" t="str">
        <x:v>Commercial &amp; Marketing</x:v>
      </x:c>
      <x:c r="E230" s="18" t="str">
        <x:v>Logiciels &amp; Autres</x:v>
      </x:c>
      <x:c r="F230" s="26" t="n">
        <x:v>9500</x:v>
      </x:c>
      <x:c r="G230" s="26" t="n">
        <x:v>9400</x:v>
      </x:c>
      <x:c r="H230" s="22" t="n">
        <x:f>G230-F230</x:f>
        <x:v>-100</x:v>
      </x:c>
      <x:c r="I230" s="24" t="n">
        <x:f>IFERROR(H230/F230,0)</x:f>
        <x:v>-0.010526315789473684</x:v>
      </x:c>
      <x:c r="J230" t="str">
        <x:f>IF(H230&gt;F230*(1+HYPOTHESES!$B$8),"ALERTE",IF(H230&gt;F230,"SURVEILLANCE","MAÎTRISÉ"))</x:f>
        <x:v>MAÎTRISÉ</x:v>
      </x:c>
    </x:row>
    <x:row r="231">
      <x:c r="A231" s="18" t="n">
        <x:v>2026</x:v>
      </x:c>
      <x:c r="B231" s="18" t="n">
        <x:v>8</x:v>
      </x:c>
      <x:c r="C231" s="18" t="str">
        <x:v>Août</x:v>
      </x:c>
      <x:c r="D231" s="18" t="str">
        <x:v>Production</x:v>
      </x:c>
      <x:c r="E231" s="18" t="str">
        <x:v>Personnel</x:v>
      </x:c>
      <x:c r="F231" s="26" t="n">
        <x:v>159700</x:v>
      </x:c>
      <x:c r="G231" s="26" t="n">
        <x:v>169700</x:v>
      </x:c>
      <x:c r="H231" s="22" t="n">
        <x:f>G231-F231</x:f>
        <x:v>10000</x:v>
      </x:c>
      <x:c r="I231" s="24" t="n">
        <x:f>IFERROR(H231/F231,0)</x:f>
        <x:v>0.06261740763932373</x:v>
      </x:c>
      <x:c r="J231" t="str">
        <x:f>IF(H231&gt;F231*(1+HYPOTHESES!$B$8),"ALERTE",IF(H231&gt;F231,"SURVEILLANCE","MAÎTRISÉ"))</x:f>
        <x:v>MAÎTRISÉ</x:v>
      </x:c>
    </x:row>
    <x:row r="232">
      <x:c r="A232" s="18" t="n">
        <x:v>2026</x:v>
      </x:c>
      <x:c r="B232" s="18" t="n">
        <x:v>8</x:v>
      </x:c>
      <x:c r="C232" s="18" t="str">
        <x:v>Août</x:v>
      </x:c>
      <x:c r="D232" s="18" t="str">
        <x:v>Production</x:v>
      </x:c>
      <x:c r="E232" s="18" t="str">
        <x:v>Prestations externes</x:v>
      </x:c>
      <x:c r="F232" s="26" t="n">
        <x:v>55100</x:v>
      </x:c>
      <x:c r="G232" s="26" t="n">
        <x:v>56800</x:v>
      </x:c>
      <x:c r="H232" s="22" t="n">
        <x:f>G232-F232</x:f>
        <x:v>1700</x:v>
      </x:c>
      <x:c r="I232" s="24" t="n">
        <x:f>IFERROR(H232/F232,0)</x:f>
        <x:v>0.030852994555353903</x:v>
      </x:c>
      <x:c r="J232" t="str">
        <x:f>IF(H232&gt;F232*(1+HYPOTHESES!$B$8),"ALERTE",IF(H232&gt;F232,"SURVEILLANCE","MAÎTRISÉ"))</x:f>
        <x:v>MAÎTRISÉ</x:v>
      </x:c>
    </x:row>
    <x:row r="233">
      <x:c r="A233" s="18" t="n">
        <x:v>2026</x:v>
      </x:c>
      <x:c r="B233" s="18" t="n">
        <x:v>8</x:v>
      </x:c>
      <x:c r="C233" s="18" t="str">
        <x:v>Août</x:v>
      </x:c>
      <x:c r="D233" s="18" t="str">
        <x:v>Production</x:v>
      </x:c>
      <x:c r="E233" s="18" t="str">
        <x:v>Déplacements</x:v>
      </x:c>
      <x:c r="F233" s="26" t="n">
        <x:v>6900</x:v>
      </x:c>
      <x:c r="G233" s="26" t="n">
        <x:v>7400</x:v>
      </x:c>
      <x:c r="H233" s="22" t="n">
        <x:f>G233-F233</x:f>
        <x:v>500</x:v>
      </x:c>
      <x:c r="I233" s="24" t="n">
        <x:f>IFERROR(H233/F233,0)</x:f>
        <x:v>0.07246376811594203</x:v>
      </x:c>
      <x:c r="J233" t="str">
        <x:f>IF(H233&gt;F233*(1+HYPOTHESES!$B$8),"ALERTE",IF(H233&gt;F233,"SURVEILLANCE","MAÎTRISÉ"))</x:f>
        <x:v>MAÎTRISÉ</x:v>
      </x:c>
    </x:row>
    <x:row r="234">
      <x:c r="A234" s="18" t="n">
        <x:v>2026</x:v>
      </x:c>
      <x:c r="B234" s="18" t="n">
        <x:v>8</x:v>
      </x:c>
      <x:c r="C234" s="18" t="str">
        <x:v>Août</x:v>
      </x:c>
      <x:c r="D234" s="18" t="str">
        <x:v>Production</x:v>
      </x:c>
      <x:c r="E234" s="18" t="str">
        <x:v>Énergie &amp; Maintenance</x:v>
      </x:c>
      <x:c r="F234" s="26" t="n">
        <x:v>43800</x:v>
      </x:c>
      <x:c r="G234" s="26" t="n">
        <x:v>52700</x:v>
      </x:c>
      <x:c r="H234" s="22" t="n">
        <x:f>G234-F234</x:f>
        <x:v>8900</x:v>
      </x:c>
      <x:c r="I234" s="24" t="n">
        <x:f>IFERROR(H234/F234,0)</x:f>
        <x:v>0.20319634703196346</x:v>
      </x:c>
      <x:c r="J234" t="str">
        <x:f>IF(H234&gt;F234*(1+HYPOTHESES!$B$8),"ALERTE",IF(H234&gt;F234,"SURVEILLANCE","MAÎTRISÉ"))</x:f>
        <x:v>MAÎTRISÉ</x:v>
      </x:c>
    </x:row>
    <x:row r="235">
      <x:c r="A235" s="18" t="n">
        <x:v>2026</x:v>
      </x:c>
      <x:c r="B235" s="18" t="n">
        <x:v>8</x:v>
      </x:c>
      <x:c r="C235" s="18" t="str">
        <x:v>Août</x:v>
      </x:c>
      <x:c r="D235" s="18" t="str">
        <x:v>Production</x:v>
      </x:c>
      <x:c r="E235" s="18" t="str">
        <x:v>Logiciels &amp; Autres</x:v>
      </x:c>
      <x:c r="F235" s="26" t="n">
        <x:v>5300</x:v>
      </x:c>
      <x:c r="G235" s="26" t="n">
        <x:v>6000</x:v>
      </x:c>
      <x:c r="H235" s="22" t="n">
        <x:f>G235-F235</x:f>
        <x:v>700</x:v>
      </x:c>
      <x:c r="I235" s="24" t="n">
        <x:f>IFERROR(H235/F235,0)</x:f>
        <x:v>0.1320754716981132</x:v>
      </x:c>
      <x:c r="J235" t="str">
        <x:f>IF(H235&gt;F235*(1+HYPOTHESES!$B$8),"ALERTE",IF(H235&gt;F235,"SURVEILLANCE","MAÎTRISÉ"))</x:f>
        <x:v>MAÎTRISÉ</x:v>
      </x:c>
    </x:row>
    <x:row r="236">
      <x:c r="A236" s="18" t="n">
        <x:v>2026</x:v>
      </x:c>
      <x:c r="B236" s="18" t="n">
        <x:v>8</x:v>
      </x:c>
      <x:c r="C236" s="18" t="str">
        <x:v>Août</x:v>
      </x:c>
      <x:c r="D236" s="18" t="str">
        <x:v>Logistique</x:v>
      </x:c>
      <x:c r="E236" s="18" t="str">
        <x:v>Personnel</x:v>
      </x:c>
      <x:c r="F236" s="26" t="n">
        <x:v>63200</x:v>
      </x:c>
      <x:c r="G236" s="26" t="n">
        <x:v>63800</x:v>
      </x:c>
      <x:c r="H236" s="22" t="n">
        <x:f>G236-F236</x:f>
        <x:v>600</x:v>
      </x:c>
      <x:c r="I236" s="24" t="n">
        <x:f>IFERROR(H236/F236,0)</x:f>
        <x:v>0.00949367088607595</x:v>
      </x:c>
      <x:c r="J236" t="str">
        <x:f>IF(H236&gt;F236*(1+HYPOTHESES!$B$8),"ALERTE",IF(H236&gt;F236,"SURVEILLANCE","MAÎTRISÉ"))</x:f>
        <x:v>MAÎTRISÉ</x:v>
      </x:c>
    </x:row>
    <x:row r="237">
      <x:c r="A237" s="18" t="n">
        <x:v>2026</x:v>
      </x:c>
      <x:c r="B237" s="18" t="n">
        <x:v>8</x:v>
      </x:c>
      <x:c r="C237" s="18" t="str">
        <x:v>Août</x:v>
      </x:c>
      <x:c r="D237" s="18" t="str">
        <x:v>Logistique</x:v>
      </x:c>
      <x:c r="E237" s="18" t="str">
        <x:v>Prestations externes</x:v>
      </x:c>
      <x:c r="F237" s="26" t="n">
        <x:v>37300</x:v>
      </x:c>
      <x:c r="G237" s="26" t="n">
        <x:v>41400</x:v>
      </x:c>
      <x:c r="H237" s="22" t="n">
        <x:f>G237-F237</x:f>
        <x:v>4100</x:v>
      </x:c>
      <x:c r="I237" s="24" t="n">
        <x:f>IFERROR(H237/F237,0)</x:f>
        <x:v>0.10991957104557641</x:v>
      </x:c>
      <x:c r="J237" t="str">
        <x:f>IF(H237&gt;F237*(1+HYPOTHESES!$B$8),"ALERTE",IF(H237&gt;F237,"SURVEILLANCE","MAÎTRISÉ"))</x:f>
        <x:v>MAÎTRISÉ</x:v>
      </x:c>
    </x:row>
    <x:row r="238">
      <x:c r="A238" s="18" t="n">
        <x:v>2026</x:v>
      </x:c>
      <x:c r="B238" s="18" t="n">
        <x:v>8</x:v>
      </x:c>
      <x:c r="C238" s="18" t="str">
        <x:v>Août</x:v>
      </x:c>
      <x:c r="D238" s="18" t="str">
        <x:v>Logistique</x:v>
      </x:c>
      <x:c r="E238" s="18" t="str">
        <x:v>Déplacements</x:v>
      </x:c>
      <x:c r="F238" s="26" t="n">
        <x:v>7800</x:v>
      </x:c>
      <x:c r="G238" s="26" t="n">
        <x:v>8000</x:v>
      </x:c>
      <x:c r="H238" s="22" t="n">
        <x:f>G238-F238</x:f>
        <x:v>200</x:v>
      </x:c>
      <x:c r="I238" s="24" t="n">
        <x:f>IFERROR(H238/F238,0)</x:f>
        <x:v>0.02564102564102564</x:v>
      </x:c>
      <x:c r="J238" t="str">
        <x:f>IF(H238&gt;F238*(1+HYPOTHESES!$B$8),"ALERTE",IF(H238&gt;F238,"SURVEILLANCE","MAÎTRISÉ"))</x:f>
        <x:v>MAÎTRISÉ</x:v>
      </x:c>
    </x:row>
    <x:row r="239">
      <x:c r="A239" s="18" t="n">
        <x:v>2026</x:v>
      </x:c>
      <x:c r="B239" s="18" t="n">
        <x:v>8</x:v>
      </x:c>
      <x:c r="C239" s="18" t="str">
        <x:v>Août</x:v>
      </x:c>
      <x:c r="D239" s="18" t="str">
        <x:v>Logistique</x:v>
      </x:c>
      <x:c r="E239" s="18" t="str">
        <x:v>Énergie &amp; Maintenance</x:v>
      </x:c>
      <x:c r="F239" s="26" t="n">
        <x:v>17400</x:v>
      </x:c>
      <x:c r="G239" s="26" t="n">
        <x:v>19100</x:v>
      </x:c>
      <x:c r="H239" s="22" t="n">
        <x:f>G239-F239</x:f>
        <x:v>1700</x:v>
      </x:c>
      <x:c r="I239" s="24" t="n">
        <x:f>IFERROR(H239/F239,0)</x:f>
        <x:v>0.09770114942528736</x:v>
      </x:c>
      <x:c r="J239" t="str">
        <x:f>IF(H239&gt;F239*(1+HYPOTHESES!$B$8),"ALERTE",IF(H239&gt;F239,"SURVEILLANCE","MAÎTRISÉ"))</x:f>
        <x:v>MAÎTRISÉ</x:v>
      </x:c>
    </x:row>
    <x:row r="240">
      <x:c r="A240" s="18" t="n">
        <x:v>2026</x:v>
      </x:c>
      <x:c r="B240" s="18" t="n">
        <x:v>8</x:v>
      </x:c>
      <x:c r="C240" s="18" t="str">
        <x:v>Août</x:v>
      </x:c>
      <x:c r="D240" s="18" t="str">
        <x:v>Logistique</x:v>
      </x:c>
      <x:c r="E240" s="18" t="str">
        <x:v>Logiciels &amp; Autres</x:v>
      </x:c>
      <x:c r="F240" s="26" t="n">
        <x:v>3200</x:v>
      </x:c>
      <x:c r="G240" s="26" t="n">
        <x:v>3500</x:v>
      </x:c>
      <x:c r="H240" s="22" t="n">
        <x:f>G240-F240</x:f>
        <x:v>300</x:v>
      </x:c>
      <x:c r="I240" s="24" t="n">
        <x:f>IFERROR(H240/F240,0)</x:f>
        <x:v>0.09375</x:v>
      </x:c>
      <x:c r="J240" t="str">
        <x:f>IF(H240&gt;F240*(1+HYPOTHESES!$B$8),"ALERTE",IF(H240&gt;F240,"SURVEILLANCE","MAÎTRISÉ"))</x:f>
        <x:v>MAÎTRISÉ</x:v>
      </x:c>
    </x:row>
    <x:row r="241">
      <x:c r="A241" s="18" t="n">
        <x:v>2026</x:v>
      </x:c>
      <x:c r="B241" s="18" t="n">
        <x:v>8</x:v>
      </x:c>
      <x:c r="C241" s="18" t="str">
        <x:v>Août</x:v>
      </x:c>
      <x:c r="D241" s="18" t="str">
        <x:v>Systèmes d’information</x:v>
      </x:c>
      <x:c r="E241" s="18" t="str">
        <x:v>Personnel</x:v>
      </x:c>
      <x:c r="F241" s="26" t="n">
        <x:v>74600</x:v>
      </x:c>
      <x:c r="G241" s="26" t="n">
        <x:v>76300</x:v>
      </x:c>
      <x:c r="H241" s="22" t="n">
        <x:f>G241-F241</x:f>
        <x:v>1700</x:v>
      </x:c>
      <x:c r="I241" s="24" t="n">
        <x:f>IFERROR(H241/F241,0)</x:f>
        <x:v>0.022788203753351208</x:v>
      </x:c>
      <x:c r="J241" t="str">
        <x:f>IF(H241&gt;F241*(1+HYPOTHESES!$B$8),"ALERTE",IF(H241&gt;F241,"SURVEILLANCE","MAÎTRISÉ"))</x:f>
        <x:v>MAÎTRISÉ</x:v>
      </x:c>
    </x:row>
    <x:row r="242">
      <x:c r="A242" s="18" t="n">
        <x:v>2026</x:v>
      </x:c>
      <x:c r="B242" s="18" t="n">
        <x:v>8</x:v>
      </x:c>
      <x:c r="C242" s="18" t="str">
        <x:v>Août</x:v>
      </x:c>
      <x:c r="D242" s="18" t="str">
        <x:v>Systèmes d’information</x:v>
      </x:c>
      <x:c r="E242" s="18" t="str">
        <x:v>Prestations externes</x:v>
      </x:c>
      <x:c r="F242" s="26" t="n">
        <x:v>18200</x:v>
      </x:c>
      <x:c r="G242" s="26" t="n">
        <x:v>18500</x:v>
      </x:c>
      <x:c r="H242" s="22" t="n">
        <x:f>G242-F242</x:f>
        <x:v>300</x:v>
      </x:c>
      <x:c r="I242" s="24" t="n">
        <x:f>IFERROR(H242/F242,0)</x:f>
        <x:v>0.016483516483516484</x:v>
      </x:c>
      <x:c r="J242" t="str">
        <x:f>IF(H242&gt;F242*(1+HYPOTHESES!$B$8),"ALERTE",IF(H242&gt;F242,"SURVEILLANCE","MAÎTRISÉ"))</x:f>
        <x:v>MAÎTRISÉ</x:v>
      </x:c>
    </x:row>
    <x:row r="243">
      <x:c r="A243" s="18" t="n">
        <x:v>2026</x:v>
      </x:c>
      <x:c r="B243" s="18" t="n">
        <x:v>8</x:v>
      </x:c>
      <x:c r="C243" s="18" t="str">
        <x:v>Août</x:v>
      </x:c>
      <x:c r="D243" s="18" t="str">
        <x:v>Systèmes d’information</x:v>
      </x:c>
      <x:c r="E243" s="18" t="str">
        <x:v>Déplacements</x:v>
      </x:c>
      <x:c r="F243" s="26" t="n">
        <x:v>2100</x:v>
      </x:c>
      <x:c r="G243" s="26" t="n">
        <x:v>2200</x:v>
      </x:c>
      <x:c r="H243" s="22" t="n">
        <x:f>G243-F243</x:f>
        <x:v>100</x:v>
      </x:c>
      <x:c r="I243" s="24" t="n">
        <x:f>IFERROR(H243/F243,0)</x:f>
        <x:v>0.047619047619047616</x:v>
      </x:c>
      <x:c r="J243" t="str">
        <x:f>IF(H243&gt;F243*(1+HYPOTHESES!$B$8),"ALERTE",IF(H243&gt;F243,"SURVEILLANCE","MAÎTRISÉ"))</x:f>
        <x:v>MAÎTRISÉ</x:v>
      </x:c>
    </x:row>
    <x:row r="244">
      <x:c r="A244" s="18" t="n">
        <x:v>2026</x:v>
      </x:c>
      <x:c r="B244" s="18" t="n">
        <x:v>8</x:v>
      </x:c>
      <x:c r="C244" s="18" t="str">
        <x:v>Août</x:v>
      </x:c>
      <x:c r="D244" s="18" t="str">
        <x:v>Systèmes d’information</x:v>
      </x:c>
      <x:c r="E244" s="18" t="str">
        <x:v>Énergie &amp; Maintenance</x:v>
      </x:c>
      <x:c r="F244" s="26" t="n">
        <x:v>2800</x:v>
      </x:c>
      <x:c r="G244" s="26" t="n">
        <x:v>3200</x:v>
      </x:c>
      <x:c r="H244" s="22" t="n">
        <x:f>G244-F244</x:f>
        <x:v>400</x:v>
      </x:c>
      <x:c r="I244" s="24" t="n">
        <x:f>IFERROR(H244/F244,0)</x:f>
        <x:v>0.14285714285714285</x:v>
      </x:c>
      <x:c r="J244" t="str">
        <x:f>IF(H244&gt;F244*(1+HYPOTHESES!$B$8),"ALERTE",IF(H244&gt;F244,"SURVEILLANCE","MAÎTRISÉ"))</x:f>
        <x:v>MAÎTRISÉ</x:v>
      </x:c>
    </x:row>
    <x:row r="245">
      <x:c r="A245" s="18" t="n">
        <x:v>2026</x:v>
      </x:c>
      <x:c r="B245" s="18" t="n">
        <x:v>8</x:v>
      </x:c>
      <x:c r="C245" s="18" t="str">
        <x:v>Août</x:v>
      </x:c>
      <x:c r="D245" s="18" t="str">
        <x:v>Systèmes d’information</x:v>
      </x:c>
      <x:c r="E245" s="18" t="str">
        <x:v>Logiciels &amp; Autres</x:v>
      </x:c>
      <x:c r="F245" s="26" t="n">
        <x:v>41300</x:v>
      </x:c>
      <x:c r="G245" s="26" t="n">
        <x:v>47600</x:v>
      </x:c>
      <x:c r="H245" s="22" t="n">
        <x:f>G245-F245</x:f>
        <x:v>6300</x:v>
      </x:c>
      <x:c r="I245" s="24" t="n">
        <x:f>IFERROR(H245/F245,0)</x:f>
        <x:v>0.15254237288135594</x:v>
      </x:c>
      <x:c r="J245" t="str">
        <x:f>IF(H245&gt;F245*(1+HYPOTHESES!$B$8),"ALERTE",IF(H245&gt;F245,"SURVEILLANCE","MAÎTRISÉ"))</x:f>
        <x:v>MAÎTRISÉ</x:v>
      </x:c>
    </x:row>
    <x:row r="246">
      <x:c r="A246" s="18" t="n">
        <x:v>2026</x:v>
      </x:c>
      <x:c r="B246" s="18" t="n">
        <x:v>9</x:v>
      </x:c>
      <x:c r="C246" s="18" t="str">
        <x:v>Septembre</x:v>
      </x:c>
      <x:c r="D246" s="18" t="str">
        <x:v>Direction générale</x:v>
      </x:c>
      <x:c r="E246" s="18" t="str">
        <x:v>Personnel</x:v>
      </x:c>
      <x:c r="F246" s="26" t="n">
        <x:v>77800</x:v>
      </x:c>
      <x:c r="G246" s="26" t="n">
        <x:v>80600</x:v>
      </x:c>
      <x:c r="H246" s="22" t="n">
        <x:f>G246-F246</x:f>
        <x:v>2800</x:v>
      </x:c>
      <x:c r="I246" s="24" t="n">
        <x:f>IFERROR(H246/F246,0)</x:f>
        <x:v>0.03598971722365039</x:v>
      </x:c>
      <x:c r="J246" t="str">
        <x:f>IF(H246&gt;F246*(1+HYPOTHESES!$B$8),"ALERTE",IF(H246&gt;F246,"SURVEILLANCE","MAÎTRISÉ"))</x:f>
        <x:v>MAÎTRISÉ</x:v>
      </x:c>
    </x:row>
    <x:row r="247">
      <x:c r="A247" s="18" t="n">
        <x:v>2026</x:v>
      </x:c>
      <x:c r="B247" s="18" t="n">
        <x:v>9</x:v>
      </x:c>
      <x:c r="C247" s="18" t="str">
        <x:v>Septembre</x:v>
      </x:c>
      <x:c r="D247" s="18" t="str">
        <x:v>Direction générale</x:v>
      </x:c>
      <x:c r="E247" s="18" t="str">
        <x:v>Prestations externes</x:v>
      </x:c>
      <x:c r="F247" s="26" t="n">
        <x:v>38100</x:v>
      </x:c>
      <x:c r="G247" s="26" t="n">
        <x:v>39400</x:v>
      </x:c>
      <x:c r="H247" s="22" t="n">
        <x:f>G247-F247</x:f>
        <x:v>1300</x:v>
      </x:c>
      <x:c r="I247" s="24" t="n">
        <x:f>IFERROR(H247/F247,0)</x:f>
        <x:v>0.03412073490813648</x:v>
      </x:c>
      <x:c r="J247" t="str">
        <x:f>IF(H247&gt;F247*(1+HYPOTHESES!$B$8),"ALERTE",IF(H247&gt;F247,"SURVEILLANCE","MAÎTRISÉ"))</x:f>
        <x:v>MAÎTRISÉ</x:v>
      </x:c>
    </x:row>
    <x:row r="248">
      <x:c r="A248" s="18" t="n">
        <x:v>2026</x:v>
      </x:c>
      <x:c r="B248" s="18" t="n">
        <x:v>9</x:v>
      </x:c>
      <x:c r="C248" s="18" t="str">
        <x:v>Septembre</x:v>
      </x:c>
      <x:c r="D248" s="18" t="str">
        <x:v>Direction générale</x:v>
      </x:c>
      <x:c r="E248" s="18" t="str">
        <x:v>Déplacements</x:v>
      </x:c>
      <x:c r="F248" s="26" t="n">
        <x:v>6700</x:v>
      </x:c>
      <x:c r="G248" s="26" t="n">
        <x:v>6300</x:v>
      </x:c>
      <x:c r="H248" s="22" t="n">
        <x:f>G248-F248</x:f>
        <x:v>-400</x:v>
      </x:c>
      <x:c r="I248" s="24" t="n">
        <x:f>IFERROR(H248/F248,0)</x:f>
        <x:v>-0.05970149253731343</x:v>
      </x:c>
      <x:c r="J248" t="str">
        <x:f>IF(H248&gt;F248*(1+HYPOTHESES!$B$8),"ALERTE",IF(H248&gt;F248,"SURVEILLANCE","MAÎTRISÉ"))</x:f>
        <x:v>MAÎTRISÉ</x:v>
      </x:c>
    </x:row>
    <x:row r="249">
      <x:c r="A249" s="18" t="n">
        <x:v>2026</x:v>
      </x:c>
      <x:c r="B249" s="18" t="n">
        <x:v>9</x:v>
      </x:c>
      <x:c r="C249" s="18" t="str">
        <x:v>Septembre</x:v>
      </x:c>
      <x:c r="D249" s="18" t="str">
        <x:v>Direction générale</x:v>
      </x:c>
      <x:c r="E249" s="18" t="str">
        <x:v>Énergie &amp; Maintenance</x:v>
      </x:c>
      <x:c r="F249" s="26" t="n">
        <x:v>8300</x:v>
      </x:c>
      <x:c r="G249" s="26" t="n">
        <x:v>7800</x:v>
      </x:c>
      <x:c r="H249" s="22" t="n">
        <x:f>G249-F249</x:f>
        <x:v>-500</x:v>
      </x:c>
      <x:c r="I249" s="24" t="n">
        <x:f>IFERROR(H249/F249,0)</x:f>
        <x:v>-0.060240963855421686</x:v>
      </x:c>
      <x:c r="J249" t="str">
        <x:f>IF(H249&gt;F249*(1+HYPOTHESES!$B$8),"ALERTE",IF(H249&gt;F249,"SURVEILLANCE","MAÎTRISÉ"))</x:f>
        <x:v>MAÎTRISÉ</x:v>
      </x:c>
    </x:row>
    <x:row r="250">
      <x:c r="A250" s="18" t="n">
        <x:v>2026</x:v>
      </x:c>
      <x:c r="B250" s="18" t="n">
        <x:v>9</x:v>
      </x:c>
      <x:c r="C250" s="18" t="str">
        <x:v>Septembre</x:v>
      </x:c>
      <x:c r="D250" s="18" t="str">
        <x:v>Direction générale</x:v>
      </x:c>
      <x:c r="E250" s="18" t="str">
        <x:v>Logiciels &amp; Autres</x:v>
      </x:c>
      <x:c r="F250" s="26" t="n">
        <x:v>5600</x:v>
      </x:c>
      <x:c r="G250" s="26" t="n">
        <x:v>5800</x:v>
      </x:c>
      <x:c r="H250" s="22" t="n">
        <x:f>G250-F250</x:f>
        <x:v>200</x:v>
      </x:c>
      <x:c r="I250" s="24" t="n">
        <x:f>IFERROR(H250/F250,0)</x:f>
        <x:v>0.03571428571428571</x:v>
      </x:c>
      <x:c r="J250" t="str">
        <x:f>IF(H250&gt;F250*(1+HYPOTHESES!$B$8),"ALERTE",IF(H250&gt;F250,"SURVEILLANCE","MAÎTRISÉ"))</x:f>
        <x:v>MAÎTRISÉ</x:v>
      </x:c>
    </x:row>
    <x:row r="251">
      <x:c r="A251" s="18" t="n">
        <x:v>2026</x:v>
      </x:c>
      <x:c r="B251" s="18" t="n">
        <x:v>9</x:v>
      </x:c>
      <x:c r="C251" s="18" t="str">
        <x:v>Septembre</x:v>
      </x:c>
      <x:c r="D251" s="18" t="str">
        <x:v>Finance &amp; Comptabilité</x:v>
      </x:c>
      <x:c r="E251" s="18" t="str">
        <x:v>Personnel</x:v>
      </x:c>
      <x:c r="F251" s="26" t="n">
        <x:v>56300</x:v>
      </x:c>
      <x:c r="G251" s="26" t="n">
        <x:v>56200</x:v>
      </x:c>
      <x:c r="H251" s="22" t="n">
        <x:f>G251-F251</x:f>
        <x:v>-100</x:v>
      </x:c>
      <x:c r="I251" s="24" t="n">
        <x:f>IFERROR(H251/F251,0)</x:f>
        <x:v>-0.0017761989342806395</x:v>
      </x:c>
      <x:c r="J251" t="str">
        <x:f>IF(H251&gt;F251*(1+HYPOTHESES!$B$8),"ALERTE",IF(H251&gt;F251,"SURVEILLANCE","MAÎTRISÉ"))</x:f>
        <x:v>MAÎTRISÉ</x:v>
      </x:c>
    </x:row>
    <x:row r="252">
      <x:c r="A252" s="18" t="n">
        <x:v>2026</x:v>
      </x:c>
      <x:c r="B252" s="18" t="n">
        <x:v>9</x:v>
      </x:c>
      <x:c r="C252" s="18" t="str">
        <x:v>Septembre</x:v>
      </x:c>
      <x:c r="D252" s="18" t="str">
        <x:v>Finance &amp; Comptabilité</x:v>
      </x:c>
      <x:c r="E252" s="18" t="str">
        <x:v>Prestations externes</x:v>
      </x:c>
      <x:c r="F252" s="26" t="n">
        <x:v>7500</x:v>
      </x:c>
      <x:c r="G252" s="26" t="n">
        <x:v>7800</x:v>
      </x:c>
      <x:c r="H252" s="22" t="n">
        <x:f>G252-F252</x:f>
        <x:v>300</x:v>
      </x:c>
      <x:c r="I252" s="24" t="n">
        <x:f>IFERROR(H252/F252,0)</x:f>
        <x:v>0.04</x:v>
      </x:c>
      <x:c r="J252" t="str">
        <x:f>IF(H252&gt;F252*(1+HYPOTHESES!$B$8),"ALERTE",IF(H252&gt;F252,"SURVEILLANCE","MAÎTRISÉ"))</x:f>
        <x:v>MAÎTRISÉ</x:v>
      </x:c>
    </x:row>
    <x:row r="253">
      <x:c r="A253" s="18" t="n">
        <x:v>2026</x:v>
      </x:c>
      <x:c r="B253" s="18" t="n">
        <x:v>9</x:v>
      </x:c>
      <x:c r="C253" s="18" t="str">
        <x:v>Septembre</x:v>
      </x:c>
      <x:c r="D253" s="18" t="str">
        <x:v>Finance &amp; Comptabilité</x:v>
      </x:c>
      <x:c r="E253" s="18" t="str">
        <x:v>Déplacements</x:v>
      </x:c>
      <x:c r="F253" s="26" t="n">
        <x:v>2600</x:v>
      </x:c>
      <x:c r="G253" s="26" t="n">
        <x:v>2500</x:v>
      </x:c>
      <x:c r="H253" s="22" t="n">
        <x:f>G253-F253</x:f>
        <x:v>-100</x:v>
      </x:c>
      <x:c r="I253" s="24" t="n">
        <x:f>IFERROR(H253/F253,0)</x:f>
        <x:v>-0.038461538461538464</x:v>
      </x:c>
      <x:c r="J253" t="str">
        <x:f>IF(H253&gt;F253*(1+HYPOTHESES!$B$8),"ALERTE",IF(H253&gt;F253,"SURVEILLANCE","MAÎTRISÉ"))</x:f>
        <x:v>MAÎTRISÉ</x:v>
      </x:c>
    </x:row>
    <x:row r="254">
      <x:c r="A254" s="18" t="n">
        <x:v>2026</x:v>
      </x:c>
      <x:c r="B254" s="18" t="n">
        <x:v>9</x:v>
      </x:c>
      <x:c r="C254" s="18" t="str">
        <x:v>Septembre</x:v>
      </x:c>
      <x:c r="D254" s="18" t="str">
        <x:v>Finance &amp; Comptabilité</x:v>
      </x:c>
      <x:c r="E254" s="18" t="str">
        <x:v>Énergie &amp; Maintenance</x:v>
      </x:c>
      <x:c r="F254" s="26" t="n">
        <x:v>2200</x:v>
      </x:c>
      <x:c r="G254" s="26" t="n">
        <x:v>2200</x:v>
      </x:c>
      <x:c r="H254" s="22" t="n">
        <x:f>G254-F254</x:f>
        <x:v>0</x:v>
      </x:c>
      <x:c r="I254" s="24" t="n">
        <x:f>IFERROR(H254/F254,0)</x:f>
        <x:v>0</x:v>
      </x:c>
      <x:c r="J254" t="str">
        <x:f>IF(H254&gt;F254*(1+HYPOTHESES!$B$8),"ALERTE",IF(H254&gt;F254,"SURVEILLANCE","MAÎTRISÉ"))</x:f>
        <x:v>MAÎTRISÉ</x:v>
      </x:c>
    </x:row>
    <x:row r="255">
      <x:c r="A255" s="18" t="n">
        <x:v>2026</x:v>
      </x:c>
      <x:c r="B255" s="18" t="n">
        <x:v>9</x:v>
      </x:c>
      <x:c r="C255" s="18" t="str">
        <x:v>Septembre</x:v>
      </x:c>
      <x:c r="D255" s="18" t="str">
        <x:v>Finance &amp; Comptabilité</x:v>
      </x:c>
      <x:c r="E255" s="18" t="str">
        <x:v>Logiciels &amp; Autres</x:v>
      </x:c>
      <x:c r="F255" s="26" t="n">
        <x:v>4900</x:v>
      </x:c>
      <x:c r="G255" s="26" t="n">
        <x:v>5400</x:v>
      </x:c>
      <x:c r="H255" s="22" t="n">
        <x:f>G255-F255</x:f>
        <x:v>500</x:v>
      </x:c>
      <x:c r="I255" s="24" t="n">
        <x:f>IFERROR(H255/F255,0)</x:f>
        <x:v>0.10204081632653061</x:v>
      </x:c>
      <x:c r="J255" t="str">
        <x:f>IF(H255&gt;F255*(1+HYPOTHESES!$B$8),"ALERTE",IF(H255&gt;F255,"SURVEILLANCE","MAÎTRISÉ"))</x:f>
        <x:v>MAÎTRISÉ</x:v>
      </x:c>
    </x:row>
    <x:row r="256">
      <x:c r="A256" s="18" t="n">
        <x:v>2026</x:v>
      </x:c>
      <x:c r="B256" s="18" t="n">
        <x:v>9</x:v>
      </x:c>
      <x:c r="C256" s="18" t="str">
        <x:v>Septembre</x:v>
      </x:c>
      <x:c r="D256" s="18" t="str">
        <x:v>Commercial &amp; Marketing</x:v>
      </x:c>
      <x:c r="E256" s="18" t="str">
        <x:v>Personnel</x:v>
      </x:c>
      <x:c r="F256" s="26" t="n">
        <x:v>101600</x:v>
      </x:c>
      <x:c r="G256" s="26" t="n">
        <x:v>107700</x:v>
      </x:c>
      <x:c r="H256" s="22" t="n">
        <x:f>G256-F256</x:f>
        <x:v>6100</x:v>
      </x:c>
      <x:c r="I256" s="24" t="n">
        <x:f>IFERROR(H256/F256,0)</x:f>
        <x:v>0.060039370078740155</x:v>
      </x:c>
      <x:c r="J256" t="str">
        <x:f>IF(H256&gt;F256*(1+HYPOTHESES!$B$8),"ALERTE",IF(H256&gt;F256,"SURVEILLANCE","MAÎTRISÉ"))</x:f>
        <x:v>MAÎTRISÉ</x:v>
      </x:c>
    </x:row>
    <x:row r="257">
      <x:c r="A257" s="18" t="n">
        <x:v>2026</x:v>
      </x:c>
      <x:c r="B257" s="18" t="n">
        <x:v>9</x:v>
      </x:c>
      <x:c r="C257" s="18" t="str">
        <x:v>Septembre</x:v>
      </x:c>
      <x:c r="D257" s="18" t="str">
        <x:v>Commercial &amp; Marketing</x:v>
      </x:c>
      <x:c r="E257" s="18" t="str">
        <x:v>Prestations externes</x:v>
      </x:c>
      <x:c r="F257" s="26" t="n">
        <x:v>27000</x:v>
      </x:c>
      <x:c r="G257" s="26" t="n">
        <x:v>25600</x:v>
      </x:c>
      <x:c r="H257" s="22" t="n">
        <x:f>G257-F257</x:f>
        <x:v>-1400</x:v>
      </x:c>
      <x:c r="I257" s="24" t="n">
        <x:f>IFERROR(H257/F257,0)</x:f>
        <x:v>-0.05185185185185185</x:v>
      </x:c>
      <x:c r="J257" t="str">
        <x:f>IF(H257&gt;F257*(1+HYPOTHESES!$B$8),"ALERTE",IF(H257&gt;F257,"SURVEILLANCE","MAÎTRISÉ"))</x:f>
        <x:v>MAÎTRISÉ</x:v>
      </x:c>
    </x:row>
    <x:row r="258">
      <x:c r="A258" s="18" t="n">
        <x:v>2026</x:v>
      </x:c>
      <x:c r="B258" s="18" t="n">
        <x:v>9</x:v>
      </x:c>
      <x:c r="C258" s="18" t="str">
        <x:v>Septembre</x:v>
      </x:c>
      <x:c r="D258" s="18" t="str">
        <x:v>Commercial &amp; Marketing</x:v>
      </x:c>
      <x:c r="E258" s="18" t="str">
        <x:v>Déplacements</x:v>
      </x:c>
      <x:c r="F258" s="26" t="n">
        <x:v>17500</x:v>
      </x:c>
      <x:c r="G258" s="26" t="n">
        <x:v>18700</x:v>
      </x:c>
      <x:c r="H258" s="22" t="n">
        <x:f>G258-F258</x:f>
        <x:v>1200</x:v>
      </x:c>
      <x:c r="I258" s="24" t="n">
        <x:f>IFERROR(H258/F258,0)</x:f>
        <x:v>0.06857142857142857</x:v>
      </x:c>
      <x:c r="J258" t="str">
        <x:f>IF(H258&gt;F258*(1+HYPOTHESES!$B$8),"ALERTE",IF(H258&gt;F258,"SURVEILLANCE","MAÎTRISÉ"))</x:f>
        <x:v>MAÎTRISÉ</x:v>
      </x:c>
    </x:row>
    <x:row r="259">
      <x:c r="A259" s="18" t="n">
        <x:v>2026</x:v>
      </x:c>
      <x:c r="B259" s="18" t="n">
        <x:v>9</x:v>
      </x:c>
      <x:c r="C259" s="18" t="str">
        <x:v>Septembre</x:v>
      </x:c>
      <x:c r="D259" s="18" t="str">
        <x:v>Commercial &amp; Marketing</x:v>
      </x:c>
      <x:c r="E259" s="18" t="str">
        <x:v>Énergie &amp; Maintenance</x:v>
      </x:c>
      <x:c r="F259" s="26" t="n">
        <x:v>3300</x:v>
      </x:c>
      <x:c r="G259" s="26" t="n">
        <x:v>3300</x:v>
      </x:c>
      <x:c r="H259" s="22" t="n">
        <x:f>G259-F259</x:f>
        <x:v>0</x:v>
      </x:c>
      <x:c r="I259" s="24" t="n">
        <x:f>IFERROR(H259/F259,0)</x:f>
        <x:v>0</x:v>
      </x:c>
      <x:c r="J259" t="str">
        <x:f>IF(H259&gt;F259*(1+HYPOTHESES!$B$8),"ALERTE",IF(H259&gt;F259,"SURVEILLANCE","MAÎTRISÉ"))</x:f>
        <x:v>MAÎTRISÉ</x:v>
      </x:c>
    </x:row>
    <x:row r="260">
      <x:c r="A260" s="18" t="n">
        <x:v>2026</x:v>
      </x:c>
      <x:c r="B260" s="18" t="n">
        <x:v>9</x:v>
      </x:c>
      <x:c r="C260" s="18" t="str">
        <x:v>Septembre</x:v>
      </x:c>
      <x:c r="D260" s="18" t="str">
        <x:v>Commercial &amp; Marketing</x:v>
      </x:c>
      <x:c r="E260" s="18" t="str">
        <x:v>Logiciels &amp; Autres</x:v>
      </x:c>
      <x:c r="F260" s="26" t="n">
        <x:v>9300</x:v>
      </x:c>
      <x:c r="G260" s="26" t="n">
        <x:v>9400</x:v>
      </x:c>
      <x:c r="H260" s="22" t="n">
        <x:f>G260-F260</x:f>
        <x:v>100</x:v>
      </x:c>
      <x:c r="I260" s="24" t="n">
        <x:f>IFERROR(H260/F260,0)</x:f>
        <x:v>0.010752688172043012</x:v>
      </x:c>
      <x:c r="J260" t="str">
        <x:f>IF(H260&gt;F260*(1+HYPOTHESES!$B$8),"ALERTE",IF(H260&gt;F260,"SURVEILLANCE","MAÎTRISÉ"))</x:f>
        <x:v>MAÎTRISÉ</x:v>
      </x:c>
    </x:row>
    <x:row r="261">
      <x:c r="A261" s="18" t="n">
        <x:v>2026</x:v>
      </x:c>
      <x:c r="B261" s="18" t="n">
        <x:v>9</x:v>
      </x:c>
      <x:c r="C261" s="18" t="str">
        <x:v>Septembre</x:v>
      </x:c>
      <x:c r="D261" s="18" t="str">
        <x:v>Production</x:v>
      </x:c>
      <x:c r="E261" s="18" t="str">
        <x:v>Personnel</x:v>
      </x:c>
      <x:c r="F261" s="26" t="n">
        <x:v>156300</x:v>
      </x:c>
      <x:c r="G261" s="26" t="n">
        <x:v>156800</x:v>
      </x:c>
      <x:c r="H261" s="22" t="n">
        <x:f>G261-F261</x:f>
        <x:v>500</x:v>
      </x:c>
      <x:c r="I261" s="24" t="n">
        <x:f>IFERROR(H261/F261,0)</x:f>
        <x:v>0.003198976327575176</x:v>
      </x:c>
      <x:c r="J261" t="str">
        <x:f>IF(H261&gt;F261*(1+HYPOTHESES!$B$8),"ALERTE",IF(H261&gt;F261,"SURVEILLANCE","MAÎTRISÉ"))</x:f>
        <x:v>MAÎTRISÉ</x:v>
      </x:c>
    </x:row>
    <x:row r="262">
      <x:c r="A262" s="18" t="n">
        <x:v>2026</x:v>
      </x:c>
      <x:c r="B262" s="18" t="n">
        <x:v>9</x:v>
      </x:c>
      <x:c r="C262" s="18" t="str">
        <x:v>Septembre</x:v>
      </x:c>
      <x:c r="D262" s="18" t="str">
        <x:v>Production</x:v>
      </x:c>
      <x:c r="E262" s="18" t="str">
        <x:v>Prestations externes</x:v>
      </x:c>
      <x:c r="F262" s="26" t="n">
        <x:v>54000</x:v>
      </x:c>
      <x:c r="G262" s="26" t="n">
        <x:v>58300</x:v>
      </x:c>
      <x:c r="H262" s="22" t="n">
        <x:f>G262-F262</x:f>
        <x:v>4300</x:v>
      </x:c>
      <x:c r="I262" s="24" t="n">
        <x:f>IFERROR(H262/F262,0)</x:f>
        <x:v>0.07962962962962963</x:v>
      </x:c>
      <x:c r="J262" t="str">
        <x:f>IF(H262&gt;F262*(1+HYPOTHESES!$B$8),"ALERTE",IF(H262&gt;F262,"SURVEILLANCE","MAÎTRISÉ"))</x:f>
        <x:v>MAÎTRISÉ</x:v>
      </x:c>
    </x:row>
    <x:row r="263">
      <x:c r="A263" s="18" t="n">
        <x:v>2026</x:v>
      </x:c>
      <x:c r="B263" s="18" t="n">
        <x:v>9</x:v>
      </x:c>
      <x:c r="C263" s="18" t="str">
        <x:v>Septembre</x:v>
      </x:c>
      <x:c r="D263" s="18" t="str">
        <x:v>Production</x:v>
      </x:c>
      <x:c r="E263" s="18" t="str">
        <x:v>Déplacements</x:v>
      </x:c>
      <x:c r="F263" s="26" t="n">
        <x:v>6700</x:v>
      </x:c>
      <x:c r="G263" s="26" t="n">
        <x:v>7300</x:v>
      </x:c>
      <x:c r="H263" s="22" t="n">
        <x:f>G263-F263</x:f>
        <x:v>600</x:v>
      </x:c>
      <x:c r="I263" s="24" t="n">
        <x:f>IFERROR(H263/F263,0)</x:f>
        <x:v>0.08955223880597014</x:v>
      </x:c>
      <x:c r="J263" t="str">
        <x:f>IF(H263&gt;F263*(1+HYPOTHESES!$B$8),"ALERTE",IF(H263&gt;F263,"SURVEILLANCE","MAÎTRISÉ"))</x:f>
        <x:v>MAÎTRISÉ</x:v>
      </x:c>
    </x:row>
    <x:row r="264">
      <x:c r="A264" s="18" t="n">
        <x:v>2026</x:v>
      </x:c>
      <x:c r="B264" s="18" t="n">
        <x:v>9</x:v>
      </x:c>
      <x:c r="C264" s="18" t="str">
        <x:v>Septembre</x:v>
      </x:c>
      <x:c r="D264" s="18" t="str">
        <x:v>Production</x:v>
      </x:c>
      <x:c r="E264" s="18" t="str">
        <x:v>Énergie &amp; Maintenance</x:v>
      </x:c>
      <x:c r="F264" s="26" t="n">
        <x:v>42900</x:v>
      </x:c>
      <x:c r="G264" s="26" t="n">
        <x:v>51500</x:v>
      </x:c>
      <x:c r="H264" s="22" t="n">
        <x:f>G264-F264</x:f>
        <x:v>8600</x:v>
      </x:c>
      <x:c r="I264" s="24" t="n">
        <x:f>IFERROR(H264/F264,0)</x:f>
        <x:v>0.20046620046620048</x:v>
      </x:c>
      <x:c r="J264" t="str">
        <x:f>IF(H264&gt;F264*(1+HYPOTHESES!$B$8),"ALERTE",IF(H264&gt;F264,"SURVEILLANCE","MAÎTRISÉ"))</x:f>
        <x:v>MAÎTRISÉ</x:v>
      </x:c>
    </x:row>
    <x:row r="265">
      <x:c r="A265" s="18" t="n">
        <x:v>2026</x:v>
      </x:c>
      <x:c r="B265" s="18" t="n">
        <x:v>9</x:v>
      </x:c>
      <x:c r="C265" s="18" t="str">
        <x:v>Septembre</x:v>
      </x:c>
      <x:c r="D265" s="18" t="str">
        <x:v>Production</x:v>
      </x:c>
      <x:c r="E265" s="18" t="str">
        <x:v>Logiciels &amp; Autres</x:v>
      </x:c>
      <x:c r="F265" s="26" t="n">
        <x:v>5200</x:v>
      </x:c>
      <x:c r="G265" s="26" t="n">
        <x:v>5600</x:v>
      </x:c>
      <x:c r="H265" s="22" t="n">
        <x:f>G265-F265</x:f>
        <x:v>400</x:v>
      </x:c>
      <x:c r="I265" s="24" t="n">
        <x:f>IFERROR(H265/F265,0)</x:f>
        <x:v>0.07692307692307693</x:v>
      </x:c>
      <x:c r="J265" t="str">
        <x:f>IF(H265&gt;F265*(1+HYPOTHESES!$B$8),"ALERTE",IF(H265&gt;F265,"SURVEILLANCE","MAÎTRISÉ"))</x:f>
        <x:v>MAÎTRISÉ</x:v>
      </x:c>
    </x:row>
    <x:row r="266">
      <x:c r="A266" s="18" t="n">
        <x:v>2026</x:v>
      </x:c>
      <x:c r="B266" s="18" t="n">
        <x:v>9</x:v>
      </x:c>
      <x:c r="C266" s="18" t="str">
        <x:v>Septembre</x:v>
      </x:c>
      <x:c r="D266" s="18" t="str">
        <x:v>Logistique</x:v>
      </x:c>
      <x:c r="E266" s="18" t="str">
        <x:v>Personnel</x:v>
      </x:c>
      <x:c r="F266" s="26" t="n">
        <x:v>61900</x:v>
      </x:c>
      <x:c r="G266" s="26" t="n">
        <x:v>66100</x:v>
      </x:c>
      <x:c r="H266" s="22" t="n">
        <x:f>G266-F266</x:f>
        <x:v>4200</x:v>
      </x:c>
      <x:c r="I266" s="24" t="n">
        <x:f>IFERROR(H266/F266,0)</x:f>
        <x:v>0.06785137318255251</x:v>
      </x:c>
      <x:c r="J266" t="str">
        <x:f>IF(H266&gt;F266*(1+HYPOTHESES!$B$8),"ALERTE",IF(H266&gt;F266,"SURVEILLANCE","MAÎTRISÉ"))</x:f>
        <x:v>MAÎTRISÉ</x:v>
      </x:c>
    </x:row>
    <x:row r="267">
      <x:c r="A267" s="18" t="n">
        <x:v>2026</x:v>
      </x:c>
      <x:c r="B267" s="18" t="n">
        <x:v>9</x:v>
      </x:c>
      <x:c r="C267" s="18" t="str">
        <x:v>Septembre</x:v>
      </x:c>
      <x:c r="D267" s="18" t="str">
        <x:v>Logistique</x:v>
      </x:c>
      <x:c r="E267" s="18" t="str">
        <x:v>Prestations externes</x:v>
      </x:c>
      <x:c r="F267" s="26" t="n">
        <x:v>36500</x:v>
      </x:c>
      <x:c r="G267" s="26" t="n">
        <x:v>38900</x:v>
      </x:c>
      <x:c r="H267" s="22" t="n">
        <x:f>G267-F267</x:f>
        <x:v>2400</x:v>
      </x:c>
      <x:c r="I267" s="24" t="n">
        <x:f>IFERROR(H267/F267,0)</x:f>
        <x:v>0.06575342465753424</x:v>
      </x:c>
      <x:c r="J267" t="str">
        <x:f>IF(H267&gt;F267*(1+HYPOTHESES!$B$8),"ALERTE",IF(H267&gt;F267,"SURVEILLANCE","MAÎTRISÉ"))</x:f>
        <x:v>MAÎTRISÉ</x:v>
      </x:c>
    </x:row>
    <x:row r="268">
      <x:c r="A268" s="18" t="n">
        <x:v>2026</x:v>
      </x:c>
      <x:c r="B268" s="18" t="n">
        <x:v>9</x:v>
      </x:c>
      <x:c r="C268" s="18" t="str">
        <x:v>Septembre</x:v>
      </x:c>
      <x:c r="D268" s="18" t="str">
        <x:v>Logistique</x:v>
      </x:c>
      <x:c r="E268" s="18" t="str">
        <x:v>Déplacements</x:v>
      </x:c>
      <x:c r="F268" s="26" t="n">
        <x:v>7600</x:v>
      </x:c>
      <x:c r="G268" s="26" t="n">
        <x:v>8100</x:v>
      </x:c>
      <x:c r="H268" s="22" t="n">
        <x:f>G268-F268</x:f>
        <x:v>500</x:v>
      </x:c>
      <x:c r="I268" s="24" t="n">
        <x:f>IFERROR(H268/F268,0)</x:f>
        <x:v>0.06578947368421052</x:v>
      </x:c>
      <x:c r="J268" t="str">
        <x:f>IF(H268&gt;F268*(1+HYPOTHESES!$B$8),"ALERTE",IF(H268&gt;F268,"SURVEILLANCE","MAÎTRISÉ"))</x:f>
        <x:v>MAÎTRISÉ</x:v>
      </x:c>
    </x:row>
    <x:row r="269">
      <x:c r="A269" s="18" t="n">
        <x:v>2026</x:v>
      </x:c>
      <x:c r="B269" s="18" t="n">
        <x:v>9</x:v>
      </x:c>
      <x:c r="C269" s="18" t="str">
        <x:v>Septembre</x:v>
      </x:c>
      <x:c r="D269" s="18" t="str">
        <x:v>Logistique</x:v>
      </x:c>
      <x:c r="E269" s="18" t="str">
        <x:v>Énergie &amp; Maintenance</x:v>
      </x:c>
      <x:c r="F269" s="26" t="n">
        <x:v>17100</x:v>
      </x:c>
      <x:c r="G269" s="26" t="n">
        <x:v>18900</x:v>
      </x:c>
      <x:c r="H269" s="22" t="n">
        <x:f>G269-F269</x:f>
        <x:v>1800</x:v>
      </x:c>
      <x:c r="I269" s="24" t="n">
        <x:f>IFERROR(H269/F269,0)</x:f>
        <x:v>0.10526315789473684</x:v>
      </x:c>
      <x:c r="J269" t="str">
        <x:f>IF(H269&gt;F269*(1+HYPOTHESES!$B$8),"ALERTE",IF(H269&gt;F269,"SURVEILLANCE","MAÎTRISÉ"))</x:f>
        <x:v>MAÎTRISÉ</x:v>
      </x:c>
    </x:row>
    <x:row r="270">
      <x:c r="A270" s="18" t="n">
        <x:v>2026</x:v>
      </x:c>
      <x:c r="B270" s="18" t="n">
        <x:v>9</x:v>
      </x:c>
      <x:c r="C270" s="18" t="str">
        <x:v>Septembre</x:v>
      </x:c>
      <x:c r="D270" s="18" t="str">
        <x:v>Logistique</x:v>
      </x:c>
      <x:c r="E270" s="18" t="str">
        <x:v>Logiciels &amp; Autres</x:v>
      </x:c>
      <x:c r="F270" s="26" t="n">
        <x:v>3100</x:v>
      </x:c>
      <x:c r="G270" s="26" t="n">
        <x:v>3300</x:v>
      </x:c>
      <x:c r="H270" s="22" t="n">
        <x:f>G270-F270</x:f>
        <x:v>200</x:v>
      </x:c>
      <x:c r="I270" s="24" t="n">
        <x:f>IFERROR(H270/F270,0)</x:f>
        <x:v>0.06451612903225806</x:v>
      </x:c>
      <x:c r="J270" t="str">
        <x:f>IF(H270&gt;F270*(1+HYPOTHESES!$B$8),"ALERTE",IF(H270&gt;F270,"SURVEILLANCE","MAÎTRISÉ"))</x:f>
        <x:v>MAÎTRISÉ</x:v>
      </x:c>
    </x:row>
    <x:row r="271">
      <x:c r="A271" s="18" t="n">
        <x:v>2026</x:v>
      </x:c>
      <x:c r="B271" s="18" t="n">
        <x:v>9</x:v>
      </x:c>
      <x:c r="C271" s="18" t="str">
        <x:v>Septembre</x:v>
      </x:c>
      <x:c r="D271" s="18" t="str">
        <x:v>Systèmes d’information</x:v>
      </x:c>
      <x:c r="E271" s="18" t="str">
        <x:v>Personnel</x:v>
      </x:c>
      <x:c r="F271" s="26" t="n">
        <x:v>73000</x:v>
      </x:c>
      <x:c r="G271" s="26" t="n">
        <x:v>71300</x:v>
      </x:c>
      <x:c r="H271" s="22" t="n">
        <x:f>G271-F271</x:f>
        <x:v>-1700</x:v>
      </x:c>
      <x:c r="I271" s="24" t="n">
        <x:f>IFERROR(H271/F271,0)</x:f>
        <x:v>-0.023287671232876714</x:v>
      </x:c>
      <x:c r="J271" t="str">
        <x:f>IF(H271&gt;F271*(1+HYPOTHESES!$B$8),"ALERTE",IF(H271&gt;F271,"SURVEILLANCE","MAÎTRISÉ"))</x:f>
        <x:v>MAÎTRISÉ</x:v>
      </x:c>
    </x:row>
    <x:row r="272">
      <x:c r="A272" s="18" t="n">
        <x:v>2026</x:v>
      </x:c>
      <x:c r="B272" s="18" t="n">
        <x:v>9</x:v>
      </x:c>
      <x:c r="C272" s="18" t="str">
        <x:v>Septembre</x:v>
      </x:c>
      <x:c r="D272" s="18" t="str">
        <x:v>Systèmes d’information</x:v>
      </x:c>
      <x:c r="E272" s="18" t="str">
        <x:v>Prestations externes</x:v>
      </x:c>
      <x:c r="F272" s="26" t="n">
        <x:v>17900</x:v>
      </x:c>
      <x:c r="G272" s="26" t="n">
        <x:v>19400</x:v>
      </x:c>
      <x:c r="H272" s="22" t="n">
        <x:f>G272-F272</x:f>
        <x:v>1500</x:v>
      </x:c>
      <x:c r="I272" s="24" t="n">
        <x:f>IFERROR(H272/F272,0)</x:f>
        <x:v>0.08379888268156424</x:v>
      </x:c>
      <x:c r="J272" t="str">
        <x:f>IF(H272&gt;F272*(1+HYPOTHESES!$B$8),"ALERTE",IF(H272&gt;F272,"SURVEILLANCE","MAÎTRISÉ"))</x:f>
        <x:v>MAÎTRISÉ</x:v>
      </x:c>
    </x:row>
    <x:row r="273">
      <x:c r="A273" s="18" t="n">
        <x:v>2026</x:v>
      </x:c>
      <x:c r="B273" s="18" t="n">
        <x:v>9</x:v>
      </x:c>
      <x:c r="C273" s="18" t="str">
        <x:v>Septembre</x:v>
      </x:c>
      <x:c r="D273" s="18" t="str">
        <x:v>Systèmes d’information</x:v>
      </x:c>
      <x:c r="E273" s="18" t="str">
        <x:v>Déplacements</x:v>
      </x:c>
      <x:c r="F273" s="26" t="n">
        <x:v>2100</x:v>
      </x:c>
      <x:c r="G273" s="26" t="n">
        <x:v>2200</x:v>
      </x:c>
      <x:c r="H273" s="22" t="n">
        <x:f>G273-F273</x:f>
        <x:v>100</x:v>
      </x:c>
      <x:c r="I273" s="24" t="n">
        <x:f>IFERROR(H273/F273,0)</x:f>
        <x:v>0.047619047619047616</x:v>
      </x:c>
      <x:c r="J273" t="str">
        <x:f>IF(H273&gt;F273*(1+HYPOTHESES!$B$8),"ALERTE",IF(H273&gt;F273,"SURVEILLANCE","MAÎTRISÉ"))</x:f>
        <x:v>MAÎTRISÉ</x:v>
      </x:c>
    </x:row>
    <x:row r="274">
      <x:c r="A274" s="18" t="n">
        <x:v>2026</x:v>
      </x:c>
      <x:c r="B274" s="18" t="n">
        <x:v>9</x:v>
      </x:c>
      <x:c r="C274" s="18" t="str">
        <x:v>Septembre</x:v>
      </x:c>
      <x:c r="D274" s="18" t="str">
        <x:v>Systèmes d’information</x:v>
      </x:c>
      <x:c r="E274" s="18" t="str">
        <x:v>Énergie &amp; Maintenance</x:v>
      </x:c>
      <x:c r="F274" s="26" t="n">
        <x:v>2800</x:v>
      </x:c>
      <x:c r="G274" s="26" t="n">
        <x:v>2800</x:v>
      </x:c>
      <x:c r="H274" s="22" t="n">
        <x:f>G274-F274</x:f>
        <x:v>0</x:v>
      </x:c>
      <x:c r="I274" s="24" t="n">
        <x:f>IFERROR(H274/F274,0)</x:f>
        <x:v>0</x:v>
      </x:c>
      <x:c r="J274" t="str">
        <x:f>IF(H274&gt;F274*(1+HYPOTHESES!$B$8),"ALERTE",IF(H274&gt;F274,"SURVEILLANCE","MAÎTRISÉ"))</x:f>
        <x:v>MAÎTRISÉ</x:v>
      </x:c>
    </x:row>
    <x:row r="275">
      <x:c r="A275" s="18" t="n">
        <x:v>2026</x:v>
      </x:c>
      <x:c r="B275" s="18" t="n">
        <x:v>9</x:v>
      </x:c>
      <x:c r="C275" s="18" t="str">
        <x:v>Septembre</x:v>
      </x:c>
      <x:c r="D275" s="18" t="str">
        <x:v>Systèmes d’information</x:v>
      </x:c>
      <x:c r="E275" s="18" t="str">
        <x:v>Logiciels &amp; Autres</x:v>
      </x:c>
      <x:c r="F275" s="26" t="n">
        <x:v>40500</x:v>
      </x:c>
      <x:c r="G275" s="26" t="n">
        <x:v>46600</x:v>
      </x:c>
      <x:c r="H275" s="22" t="n">
        <x:f>G275-F275</x:f>
        <x:v>6100</x:v>
      </x:c>
      <x:c r="I275" s="24" t="n">
        <x:f>IFERROR(H275/F275,0)</x:f>
        <x:v>0.1506172839506173</x:v>
      </x:c>
      <x:c r="J275" t="str">
        <x:f>IF(H275&gt;F275*(1+HYPOTHESES!$B$8),"ALERTE",IF(H275&gt;F275,"SURVEILLANCE","MAÎTRISÉ"))</x:f>
        <x:v>MAÎTRISÉ</x:v>
      </x:c>
    </x:row>
    <x:row r="276">
      <x:c r="A276" s="18" t="n">
        <x:v>2026</x:v>
      </x:c>
      <x:c r="B276" s="18" t="n">
        <x:v>10</x:v>
      </x:c>
      <x:c r="C276" s="18" t="str">
        <x:v>Octobre</x:v>
      </x:c>
      <x:c r="D276" s="18" t="str">
        <x:v>Direction générale</x:v>
      </x:c>
      <x:c r="E276" s="18" t="str">
        <x:v>Personnel</x:v>
      </x:c>
      <x:c r="F276" s="26" t="n">
        <x:v>77200</x:v>
      </x:c>
      <x:c r="G276" s="26" t="n">
        <x:v>80800</x:v>
      </x:c>
      <x:c r="H276" s="22" t="n">
        <x:f>G276-F276</x:f>
        <x:v>3600</x:v>
      </x:c>
      <x:c r="I276" s="24" t="n">
        <x:f>IFERROR(H276/F276,0)</x:f>
        <x:v>0.046632124352331605</x:v>
      </x:c>
      <x:c r="J276" t="str">
        <x:f>IF(H276&gt;F276*(1+HYPOTHESES!$B$8),"ALERTE",IF(H276&gt;F276,"SURVEILLANCE","MAÎTRISÉ"))</x:f>
        <x:v>MAÎTRISÉ</x:v>
      </x:c>
    </x:row>
    <x:row r="277">
      <x:c r="A277" s="18" t="n">
        <x:v>2026</x:v>
      </x:c>
      <x:c r="B277" s="18" t="n">
        <x:v>10</x:v>
      </x:c>
      <x:c r="C277" s="18" t="str">
        <x:v>Octobre</x:v>
      </x:c>
      <x:c r="D277" s="18" t="str">
        <x:v>Direction générale</x:v>
      </x:c>
      <x:c r="E277" s="18" t="str">
        <x:v>Prestations externes</x:v>
      </x:c>
      <x:c r="F277" s="26" t="n">
        <x:v>37800</x:v>
      </x:c>
      <x:c r="G277" s="26" t="n">
        <x:v>36100</x:v>
      </x:c>
      <x:c r="H277" s="22" t="n">
        <x:f>G277-F277</x:f>
        <x:v>-1700</x:v>
      </x:c>
      <x:c r="I277" s="24" t="n">
        <x:f>IFERROR(H277/F277,0)</x:f>
        <x:v>-0.04497354497354497</x:v>
      </x:c>
      <x:c r="J277" t="str">
        <x:f>IF(H277&gt;F277*(1+HYPOTHESES!$B$8),"ALERTE",IF(H277&gt;F277,"SURVEILLANCE","MAÎTRISÉ"))</x:f>
        <x:v>MAÎTRISÉ</x:v>
      </x:c>
    </x:row>
    <x:row r="278">
      <x:c r="A278" s="18" t="n">
        <x:v>2026</x:v>
      </x:c>
      <x:c r="B278" s="18" t="n">
        <x:v>10</x:v>
      </x:c>
      <x:c r="C278" s="18" t="str">
        <x:v>Octobre</x:v>
      </x:c>
      <x:c r="D278" s="18" t="str">
        <x:v>Direction générale</x:v>
      </x:c>
      <x:c r="E278" s="18" t="str">
        <x:v>Déplacements</x:v>
      </x:c>
      <x:c r="F278" s="26" t="n">
        <x:v>6600</x:v>
      </x:c>
      <x:c r="G278" s="26" t="n">
        <x:v>7100</x:v>
      </x:c>
      <x:c r="H278" s="22" t="n">
        <x:f>G278-F278</x:f>
        <x:v>500</x:v>
      </x:c>
      <x:c r="I278" s="24" t="n">
        <x:f>IFERROR(H278/F278,0)</x:f>
        <x:v>0.07575757575757576</x:v>
      </x:c>
      <x:c r="J278" t="str">
        <x:f>IF(H278&gt;F278*(1+HYPOTHESES!$B$8),"ALERTE",IF(H278&gt;F278,"SURVEILLANCE","MAÎTRISÉ"))</x:f>
        <x:v>MAÎTRISÉ</x:v>
      </x:c>
    </x:row>
    <x:row r="279">
      <x:c r="A279" s="18" t="n">
        <x:v>2026</x:v>
      </x:c>
      <x:c r="B279" s="18" t="n">
        <x:v>10</x:v>
      </x:c>
      <x:c r="C279" s="18" t="str">
        <x:v>Octobre</x:v>
      </x:c>
      <x:c r="D279" s="18" t="str">
        <x:v>Direction générale</x:v>
      </x:c>
      <x:c r="E279" s="18" t="str">
        <x:v>Énergie &amp; Maintenance</x:v>
      </x:c>
      <x:c r="F279" s="26" t="n">
        <x:v>8300</x:v>
      </x:c>
      <x:c r="G279" s="26" t="n">
        <x:v>8300</x:v>
      </x:c>
      <x:c r="H279" s="22" t="n">
        <x:f>G279-F279</x:f>
        <x:v>0</x:v>
      </x:c>
      <x:c r="I279" s="24" t="n">
        <x:f>IFERROR(H279/F279,0)</x:f>
        <x:v>0</x:v>
      </x:c>
      <x:c r="J279" t="str">
        <x:f>IF(H279&gt;F279*(1+HYPOTHESES!$B$8),"ALERTE",IF(H279&gt;F279,"SURVEILLANCE","MAÎTRISÉ"))</x:f>
        <x:v>MAÎTRISÉ</x:v>
      </x:c>
    </x:row>
    <x:row r="280">
      <x:c r="A280" s="18" t="n">
        <x:v>2026</x:v>
      </x:c>
      <x:c r="B280" s="18" t="n">
        <x:v>10</x:v>
      </x:c>
      <x:c r="C280" s="18" t="str">
        <x:v>Octobre</x:v>
      </x:c>
      <x:c r="D280" s="18" t="str">
        <x:v>Direction générale</x:v>
      </x:c>
      <x:c r="E280" s="18" t="str">
        <x:v>Logiciels &amp; Autres</x:v>
      </x:c>
      <x:c r="F280" s="26" t="n">
        <x:v>5600</x:v>
      </x:c>
      <x:c r="G280" s="26" t="n">
        <x:v>5600</x:v>
      </x:c>
      <x:c r="H280" s="22" t="n">
        <x:f>G280-F280</x:f>
        <x:v>0</x:v>
      </x:c>
      <x:c r="I280" s="24" t="n">
        <x:f>IFERROR(H280/F280,0)</x:f>
        <x:v>0</x:v>
      </x:c>
      <x:c r="J280" t="str">
        <x:f>IF(H280&gt;F280*(1+HYPOTHESES!$B$8),"ALERTE",IF(H280&gt;F280,"SURVEILLANCE","MAÎTRISÉ"))</x:f>
        <x:v>MAÎTRISÉ</x:v>
      </x:c>
    </x:row>
    <x:row r="281">
      <x:c r="A281" s="18" t="n">
        <x:v>2026</x:v>
      </x:c>
      <x:c r="B281" s="18" t="n">
        <x:v>10</x:v>
      </x:c>
      <x:c r="C281" s="18" t="str">
        <x:v>Octobre</x:v>
      </x:c>
      <x:c r="D281" s="18" t="str">
        <x:v>Finance &amp; Comptabilité</x:v>
      </x:c>
      <x:c r="E281" s="18" t="str">
        <x:v>Personnel</x:v>
      </x:c>
      <x:c r="F281" s="26" t="n">
        <x:v>55900</x:v>
      </x:c>
      <x:c r="G281" s="26" t="n">
        <x:v>51600</x:v>
      </x:c>
      <x:c r="H281" s="22" t="n">
        <x:f>G281-F281</x:f>
        <x:v>-4300</x:v>
      </x:c>
      <x:c r="I281" s="24" t="n">
        <x:f>IFERROR(H281/F281,0)</x:f>
        <x:v>-0.07692307692307693</x:v>
      </x:c>
      <x:c r="J281" t="str">
        <x:f>IF(H281&gt;F281*(1+HYPOTHESES!$B$8),"ALERTE",IF(H281&gt;F281,"SURVEILLANCE","MAÎTRISÉ"))</x:f>
        <x:v>MAÎTRISÉ</x:v>
      </x:c>
    </x:row>
    <x:row r="282">
      <x:c r="A282" s="18" t="n">
        <x:v>2026</x:v>
      </x:c>
      <x:c r="B282" s="18" t="n">
        <x:v>10</x:v>
      </x:c>
      <x:c r="C282" s="18" t="str">
        <x:v>Octobre</x:v>
      </x:c>
      <x:c r="D282" s="18" t="str">
        <x:v>Finance &amp; Comptabilité</x:v>
      </x:c>
      <x:c r="E282" s="18" t="str">
        <x:v>Prestations externes</x:v>
      </x:c>
      <x:c r="F282" s="26" t="n">
        <x:v>7500</x:v>
      </x:c>
      <x:c r="G282" s="26" t="n">
        <x:v>7600</x:v>
      </x:c>
      <x:c r="H282" s="22" t="n">
        <x:f>G282-F282</x:f>
        <x:v>100</x:v>
      </x:c>
      <x:c r="I282" s="24" t="n">
        <x:f>IFERROR(H282/F282,0)</x:f>
        <x:v>0.013333333333333334</x:v>
      </x:c>
      <x:c r="J282" t="str">
        <x:f>IF(H282&gt;F282*(1+HYPOTHESES!$B$8),"ALERTE",IF(H282&gt;F282,"SURVEILLANCE","MAÎTRISÉ"))</x:f>
        <x:v>MAÎTRISÉ</x:v>
      </x:c>
    </x:row>
    <x:row r="283">
      <x:c r="A283" s="18" t="n">
        <x:v>2026</x:v>
      </x:c>
      <x:c r="B283" s="18" t="n">
        <x:v>10</x:v>
      </x:c>
      <x:c r="C283" s="18" t="str">
        <x:v>Octobre</x:v>
      </x:c>
      <x:c r="D283" s="18" t="str">
        <x:v>Finance &amp; Comptabilité</x:v>
      </x:c>
      <x:c r="E283" s="18" t="str">
        <x:v>Déplacements</x:v>
      </x:c>
      <x:c r="F283" s="26" t="n">
        <x:v>2600</x:v>
      </x:c>
      <x:c r="G283" s="26" t="n">
        <x:v>2500</x:v>
      </x:c>
      <x:c r="H283" s="22" t="n">
        <x:f>G283-F283</x:f>
        <x:v>-100</x:v>
      </x:c>
      <x:c r="I283" s="24" t="n">
        <x:f>IFERROR(H283/F283,0)</x:f>
        <x:v>-0.038461538461538464</x:v>
      </x:c>
      <x:c r="J283" t="str">
        <x:f>IF(H283&gt;F283*(1+HYPOTHESES!$B$8),"ALERTE",IF(H283&gt;F283,"SURVEILLANCE","MAÎTRISÉ"))</x:f>
        <x:v>MAÎTRISÉ</x:v>
      </x:c>
    </x:row>
    <x:row r="284">
      <x:c r="A284" s="18" t="n">
        <x:v>2026</x:v>
      </x:c>
      <x:c r="B284" s="18" t="n">
        <x:v>10</x:v>
      </x:c>
      <x:c r="C284" s="18" t="str">
        <x:v>Octobre</x:v>
      </x:c>
      <x:c r="D284" s="18" t="str">
        <x:v>Finance &amp; Comptabilité</x:v>
      </x:c>
      <x:c r="E284" s="18" t="str">
        <x:v>Énergie &amp; Maintenance</x:v>
      </x:c>
      <x:c r="F284" s="26" t="n">
        <x:v>2200</x:v>
      </x:c>
      <x:c r="G284" s="26" t="n">
        <x:v>2400</x:v>
      </x:c>
      <x:c r="H284" s="22" t="n">
        <x:f>G284-F284</x:f>
        <x:v>200</x:v>
      </x:c>
      <x:c r="I284" s="24" t="n">
        <x:f>IFERROR(H284/F284,0)</x:f>
        <x:v>0.09090909090909091</x:v>
      </x:c>
      <x:c r="J284" t="str">
        <x:f>IF(H284&gt;F284*(1+HYPOTHESES!$B$8),"ALERTE",IF(H284&gt;F284,"SURVEILLANCE","MAÎTRISÉ"))</x:f>
        <x:v>MAÎTRISÉ</x:v>
      </x:c>
    </x:row>
    <x:row r="285">
      <x:c r="A285" s="18" t="n">
        <x:v>2026</x:v>
      </x:c>
      <x:c r="B285" s="18" t="n">
        <x:v>10</x:v>
      </x:c>
      <x:c r="C285" s="18" t="str">
        <x:v>Octobre</x:v>
      </x:c>
      <x:c r="D285" s="18" t="str">
        <x:v>Finance &amp; Comptabilité</x:v>
      </x:c>
      <x:c r="E285" s="18" t="str">
        <x:v>Logiciels &amp; Autres</x:v>
      </x:c>
      <x:c r="F285" s="26" t="n">
        <x:v>4900</x:v>
      </x:c>
      <x:c r="G285" s="26" t="n">
        <x:v>5100</x:v>
      </x:c>
      <x:c r="H285" s="22" t="n">
        <x:f>G285-F285</x:f>
        <x:v>200</x:v>
      </x:c>
      <x:c r="I285" s="24" t="n">
        <x:f>IFERROR(H285/F285,0)</x:f>
        <x:v>0.04081632653061224</x:v>
      </x:c>
      <x:c r="J285" t="str">
        <x:f>IF(H285&gt;F285*(1+HYPOTHESES!$B$8),"ALERTE",IF(H285&gt;F285,"SURVEILLANCE","MAÎTRISÉ"))</x:f>
        <x:v>MAÎTRISÉ</x:v>
      </x:c>
    </x:row>
    <x:row r="286">
      <x:c r="A286" s="18" t="n">
        <x:v>2026</x:v>
      </x:c>
      <x:c r="B286" s="18" t="n">
        <x:v>10</x:v>
      </x:c>
      <x:c r="C286" s="18" t="str">
        <x:v>Octobre</x:v>
      </x:c>
      <x:c r="D286" s="18" t="str">
        <x:v>Commercial &amp; Marketing</x:v>
      </x:c>
      <x:c r="E286" s="18" t="str">
        <x:v>Personnel</x:v>
      </x:c>
      <x:c r="F286" s="26" t="n">
        <x:v>100800</x:v>
      </x:c>
      <x:c r="G286" s="26" t="n">
        <x:v>102900</x:v>
      </x:c>
      <x:c r="H286" s="22" t="n">
        <x:f>G286-F286</x:f>
        <x:v>2100</x:v>
      </x:c>
      <x:c r="I286" s="24" t="n">
        <x:f>IFERROR(H286/F286,0)</x:f>
        <x:v>0.020833333333333332</x:v>
      </x:c>
      <x:c r="J286" t="str">
        <x:f>IF(H286&gt;F286*(1+HYPOTHESES!$B$8),"ALERTE",IF(H286&gt;F286,"SURVEILLANCE","MAÎTRISÉ"))</x:f>
        <x:v>MAÎTRISÉ</x:v>
      </x:c>
    </x:row>
    <x:row r="287">
      <x:c r="A287" s="18" t="n">
        <x:v>2026</x:v>
      </x:c>
      <x:c r="B287" s="18" t="n">
        <x:v>10</x:v>
      </x:c>
      <x:c r="C287" s="18" t="str">
        <x:v>Octobre</x:v>
      </x:c>
      <x:c r="D287" s="18" t="str">
        <x:v>Commercial &amp; Marketing</x:v>
      </x:c>
      <x:c r="E287" s="18" t="str">
        <x:v>Prestations externes</x:v>
      </x:c>
      <x:c r="F287" s="26" t="n">
        <x:v>26800</x:v>
      </x:c>
      <x:c r="G287" s="26" t="n">
        <x:v>25300</x:v>
      </x:c>
      <x:c r="H287" s="22" t="n">
        <x:f>G287-F287</x:f>
        <x:v>-1500</x:v>
      </x:c>
      <x:c r="I287" s="24" t="n">
        <x:f>IFERROR(H287/F287,0)</x:f>
        <x:v>-0.055970149253731345</x:v>
      </x:c>
      <x:c r="J287" t="str">
        <x:f>IF(H287&gt;F287*(1+HYPOTHESES!$B$8),"ALERTE",IF(H287&gt;F287,"SURVEILLANCE","MAÎTRISÉ"))</x:f>
        <x:v>MAÎTRISÉ</x:v>
      </x:c>
    </x:row>
    <x:row r="288">
      <x:c r="A288" s="18" t="n">
        <x:v>2026</x:v>
      </x:c>
      <x:c r="B288" s="18" t="n">
        <x:v>10</x:v>
      </x:c>
      <x:c r="C288" s="18" t="str">
        <x:v>Octobre</x:v>
      </x:c>
      <x:c r="D288" s="18" t="str">
        <x:v>Commercial &amp; Marketing</x:v>
      </x:c>
      <x:c r="E288" s="18" t="str">
        <x:v>Déplacements</x:v>
      </x:c>
      <x:c r="F288" s="26" t="n">
        <x:v>17300</x:v>
      </x:c>
      <x:c r="G288" s="26" t="n">
        <x:v>19900</x:v>
      </x:c>
      <x:c r="H288" s="22" t="n">
        <x:f>G288-F288</x:f>
        <x:v>2600</x:v>
      </x:c>
      <x:c r="I288" s="24" t="n">
        <x:f>IFERROR(H288/F288,0)</x:f>
        <x:v>0.15028901734104047</x:v>
      </x:c>
      <x:c r="J288" t="str">
        <x:f>IF(H288&gt;F288*(1+HYPOTHESES!$B$8),"ALERTE",IF(H288&gt;F288,"SURVEILLANCE","MAÎTRISÉ"))</x:f>
        <x:v>MAÎTRISÉ</x:v>
      </x:c>
    </x:row>
    <x:row r="289">
      <x:c r="A289" s="18" t="n">
        <x:v>2026</x:v>
      </x:c>
      <x:c r="B289" s="18" t="n">
        <x:v>10</x:v>
      </x:c>
      <x:c r="C289" s="18" t="str">
        <x:v>Octobre</x:v>
      </x:c>
      <x:c r="D289" s="18" t="str">
        <x:v>Commercial &amp; Marketing</x:v>
      </x:c>
      <x:c r="E289" s="18" t="str">
        <x:v>Énergie &amp; Maintenance</x:v>
      </x:c>
      <x:c r="F289" s="26" t="n">
        <x:v>3300</x:v>
      </x:c>
      <x:c r="G289" s="26" t="n">
        <x:v>3300</x:v>
      </x:c>
      <x:c r="H289" s="22" t="n">
        <x:f>G289-F289</x:f>
        <x:v>0</x:v>
      </x:c>
      <x:c r="I289" s="24" t="n">
        <x:f>IFERROR(H289/F289,0)</x:f>
        <x:v>0</x:v>
      </x:c>
      <x:c r="J289" t="str">
        <x:f>IF(H289&gt;F289*(1+HYPOTHESES!$B$8),"ALERTE",IF(H289&gt;F289,"SURVEILLANCE","MAÎTRISÉ"))</x:f>
        <x:v>MAÎTRISÉ</x:v>
      </x:c>
    </x:row>
    <x:row r="290">
      <x:c r="A290" s="18" t="n">
        <x:v>2026</x:v>
      </x:c>
      <x:c r="B290" s="18" t="n">
        <x:v>10</x:v>
      </x:c>
      <x:c r="C290" s="18" t="str">
        <x:v>Octobre</x:v>
      </x:c>
      <x:c r="D290" s="18" t="str">
        <x:v>Commercial &amp; Marketing</x:v>
      </x:c>
      <x:c r="E290" s="18" t="str">
        <x:v>Logiciels &amp; Autres</x:v>
      </x:c>
      <x:c r="F290" s="26" t="n">
        <x:v>9200</x:v>
      </x:c>
      <x:c r="G290" s="26" t="n">
        <x:v>10000</x:v>
      </x:c>
      <x:c r="H290" s="22" t="n">
        <x:f>G290-F290</x:f>
        <x:v>800</x:v>
      </x:c>
      <x:c r="I290" s="24" t="n">
        <x:f>IFERROR(H290/F290,0)</x:f>
        <x:v>0.08695652173913043</x:v>
      </x:c>
      <x:c r="J290" t="str">
        <x:f>IF(H290&gt;F290*(1+HYPOTHESES!$B$8),"ALERTE",IF(H290&gt;F290,"SURVEILLANCE","MAÎTRISÉ"))</x:f>
        <x:v>MAÎTRISÉ</x:v>
      </x:c>
    </x:row>
    <x:row r="291">
      <x:c r="A291" s="18" t="n">
        <x:v>2026</x:v>
      </x:c>
      <x:c r="B291" s="18" t="n">
        <x:v>10</x:v>
      </x:c>
      <x:c r="C291" s="18" t="str">
        <x:v>Octobre</x:v>
      </x:c>
      <x:c r="D291" s="18" t="str">
        <x:v>Production</x:v>
      </x:c>
      <x:c r="E291" s="18" t="str">
        <x:v>Personnel</x:v>
      </x:c>
      <x:c r="F291" s="26" t="n">
        <x:v>155100</x:v>
      </x:c>
      <x:c r="G291" s="26" t="n">
        <x:v>156100</x:v>
      </x:c>
      <x:c r="H291" s="22" t="n">
        <x:f>G291-F291</x:f>
        <x:v>1000</x:v>
      </x:c>
      <x:c r="I291" s="24" t="n">
        <x:f>IFERROR(H291/F291,0)</x:f>
        <x:v>0.006447453255963894</x:v>
      </x:c>
      <x:c r="J291" t="str">
        <x:f>IF(H291&gt;F291*(1+HYPOTHESES!$B$8),"ALERTE",IF(H291&gt;F291,"SURVEILLANCE","MAÎTRISÉ"))</x:f>
        <x:v>MAÎTRISÉ</x:v>
      </x:c>
    </x:row>
    <x:row r="292">
      <x:c r="A292" s="18" t="n">
        <x:v>2026</x:v>
      </x:c>
      <x:c r="B292" s="18" t="n">
        <x:v>10</x:v>
      </x:c>
      <x:c r="C292" s="18" t="str">
        <x:v>Octobre</x:v>
      </x:c>
      <x:c r="D292" s="18" t="str">
        <x:v>Production</x:v>
      </x:c>
      <x:c r="E292" s="18" t="str">
        <x:v>Prestations externes</x:v>
      </x:c>
      <x:c r="F292" s="26" t="n">
        <x:v>53600</x:v>
      </x:c>
      <x:c r="G292" s="26" t="n">
        <x:v>55100</x:v>
      </x:c>
      <x:c r="H292" s="22" t="n">
        <x:f>G292-F292</x:f>
        <x:v>1500</x:v>
      </x:c>
      <x:c r="I292" s="24" t="n">
        <x:f>IFERROR(H292/F292,0)</x:f>
        <x:v>0.027985074626865673</x:v>
      </x:c>
      <x:c r="J292" t="str">
        <x:f>IF(H292&gt;F292*(1+HYPOTHESES!$B$8),"ALERTE",IF(H292&gt;F292,"SURVEILLANCE","MAÎTRISÉ"))</x:f>
        <x:v>MAÎTRISÉ</x:v>
      </x:c>
    </x:row>
    <x:row r="293">
      <x:c r="A293" s="18" t="n">
        <x:v>2026</x:v>
      </x:c>
      <x:c r="B293" s="18" t="n">
        <x:v>10</x:v>
      </x:c>
      <x:c r="C293" s="18" t="str">
        <x:v>Octobre</x:v>
      </x:c>
      <x:c r="D293" s="18" t="str">
        <x:v>Production</x:v>
      </x:c>
      <x:c r="E293" s="18" t="str">
        <x:v>Déplacements</x:v>
      </x:c>
      <x:c r="F293" s="26" t="n">
        <x:v>6700</x:v>
      </x:c>
      <x:c r="G293" s="26" t="n">
        <x:v>7400</x:v>
      </x:c>
      <x:c r="H293" s="22" t="n">
        <x:f>G293-F293</x:f>
        <x:v>700</x:v>
      </x:c>
      <x:c r="I293" s="24" t="n">
        <x:f>IFERROR(H293/F293,0)</x:f>
        <x:v>0.1044776119402985</x:v>
      </x:c>
      <x:c r="J293" t="str">
        <x:f>IF(H293&gt;F293*(1+HYPOTHESES!$B$8),"ALERTE",IF(H293&gt;F293,"SURVEILLANCE","MAÎTRISÉ"))</x:f>
        <x:v>MAÎTRISÉ</x:v>
      </x:c>
    </x:row>
    <x:row r="294">
      <x:c r="A294" s="18" t="n">
        <x:v>2026</x:v>
      </x:c>
      <x:c r="B294" s="18" t="n">
        <x:v>10</x:v>
      </x:c>
      <x:c r="C294" s="18" t="str">
        <x:v>Octobre</x:v>
      </x:c>
      <x:c r="D294" s="18" t="str">
        <x:v>Production</x:v>
      </x:c>
      <x:c r="E294" s="18" t="str">
        <x:v>Énergie &amp; Maintenance</x:v>
      </x:c>
      <x:c r="F294" s="26" t="n">
        <x:v>42500</x:v>
      </x:c>
      <x:c r="G294" s="26" t="n">
        <x:v>51600</x:v>
      </x:c>
      <x:c r="H294" s="22" t="n">
        <x:f>G294-F294</x:f>
        <x:v>9100</x:v>
      </x:c>
      <x:c r="I294" s="24" t="n">
        <x:f>IFERROR(H294/F294,0)</x:f>
        <x:v>0.21411764705882352</x:v>
      </x:c>
      <x:c r="J294" t="str">
        <x:f>IF(H294&gt;F294*(1+HYPOTHESES!$B$8),"ALERTE",IF(H294&gt;F294,"SURVEILLANCE","MAÎTRISÉ"))</x:f>
        <x:v>MAÎTRISÉ</x:v>
      </x:c>
    </x:row>
    <x:row r="295">
      <x:c r="A295" s="18" t="n">
        <x:v>2026</x:v>
      </x:c>
      <x:c r="B295" s="18" t="n">
        <x:v>10</x:v>
      </x:c>
      <x:c r="C295" s="18" t="str">
        <x:v>Octobre</x:v>
      </x:c>
      <x:c r="D295" s="18" t="str">
        <x:v>Production</x:v>
      </x:c>
      <x:c r="E295" s="18" t="str">
        <x:v>Logiciels &amp; Autres</x:v>
      </x:c>
      <x:c r="F295" s="26" t="n">
        <x:v>5200</x:v>
      </x:c>
      <x:c r="G295" s="26" t="n">
        <x:v>5800</x:v>
      </x:c>
      <x:c r="H295" s="22" t="n">
        <x:f>G295-F295</x:f>
        <x:v>600</x:v>
      </x:c>
      <x:c r="I295" s="24" t="n">
        <x:f>IFERROR(H295/F295,0)</x:f>
        <x:v>0.11538461538461539</x:v>
      </x:c>
      <x:c r="J295" t="str">
        <x:f>IF(H295&gt;F295*(1+HYPOTHESES!$B$8),"ALERTE",IF(H295&gt;F295,"SURVEILLANCE","MAÎTRISÉ"))</x:f>
        <x:v>MAÎTRISÉ</x:v>
      </x:c>
    </x:row>
    <x:row r="296">
      <x:c r="A296" s="18" t="n">
        <x:v>2026</x:v>
      </x:c>
      <x:c r="B296" s="18" t="n">
        <x:v>10</x:v>
      </x:c>
      <x:c r="C296" s="18" t="str">
        <x:v>Octobre</x:v>
      </x:c>
      <x:c r="D296" s="18" t="str">
        <x:v>Logistique</x:v>
      </x:c>
      <x:c r="E296" s="18" t="str">
        <x:v>Personnel</x:v>
      </x:c>
      <x:c r="F296" s="26" t="n">
        <x:v>61400</x:v>
      </x:c>
      <x:c r="G296" s="26" t="n">
        <x:v>64000</x:v>
      </x:c>
      <x:c r="H296" s="22" t="n">
        <x:f>G296-F296</x:f>
        <x:v>2600</x:v>
      </x:c>
      <x:c r="I296" s="24" t="n">
        <x:f>IFERROR(H296/F296,0)</x:f>
        <x:v>0.04234527687296417</x:v>
      </x:c>
      <x:c r="J296" t="str">
        <x:f>IF(H296&gt;F296*(1+HYPOTHESES!$B$8),"ALERTE",IF(H296&gt;F296,"SURVEILLANCE","MAÎTRISÉ"))</x:f>
        <x:v>MAÎTRISÉ</x:v>
      </x:c>
    </x:row>
    <x:row r="297">
      <x:c r="A297" s="18" t="n">
        <x:v>2026</x:v>
      </x:c>
      <x:c r="B297" s="18" t="n">
        <x:v>10</x:v>
      </x:c>
      <x:c r="C297" s="18" t="str">
        <x:v>Octobre</x:v>
      </x:c>
      <x:c r="D297" s="18" t="str">
        <x:v>Logistique</x:v>
      </x:c>
      <x:c r="E297" s="18" t="str">
        <x:v>Prestations externes</x:v>
      </x:c>
      <x:c r="F297" s="26" t="n">
        <x:v>36200</x:v>
      </x:c>
      <x:c r="G297" s="26" t="n">
        <x:v>39800</x:v>
      </x:c>
      <x:c r="H297" s="22" t="n">
        <x:f>G297-F297</x:f>
        <x:v>3600</x:v>
      </x:c>
      <x:c r="I297" s="24" t="n">
        <x:f>IFERROR(H297/F297,0)</x:f>
        <x:v>0.09944751381215469</x:v>
      </x:c>
      <x:c r="J297" t="str">
        <x:f>IF(H297&gt;F297*(1+HYPOTHESES!$B$8),"ALERTE",IF(H297&gt;F297,"SURVEILLANCE","MAÎTRISÉ"))</x:f>
        <x:v>MAÎTRISÉ</x:v>
      </x:c>
    </x:row>
    <x:row r="298">
      <x:c r="A298" s="18" t="n">
        <x:v>2026</x:v>
      </x:c>
      <x:c r="B298" s="18" t="n">
        <x:v>10</x:v>
      </x:c>
      <x:c r="C298" s="18" t="str">
        <x:v>Octobre</x:v>
      </x:c>
      <x:c r="D298" s="18" t="str">
        <x:v>Logistique</x:v>
      </x:c>
      <x:c r="E298" s="18" t="str">
        <x:v>Déplacements</x:v>
      </x:c>
      <x:c r="F298" s="26" t="n">
        <x:v>7600</x:v>
      </x:c>
      <x:c r="G298" s="26" t="n">
        <x:v>8100</x:v>
      </x:c>
      <x:c r="H298" s="22" t="n">
        <x:f>G298-F298</x:f>
        <x:v>500</x:v>
      </x:c>
      <x:c r="I298" s="24" t="n">
        <x:f>IFERROR(H298/F298,0)</x:f>
        <x:v>0.06578947368421052</x:v>
      </x:c>
      <x:c r="J298" t="str">
        <x:f>IF(H298&gt;F298*(1+HYPOTHESES!$B$8),"ALERTE",IF(H298&gt;F298,"SURVEILLANCE","MAÎTRISÉ"))</x:f>
        <x:v>MAÎTRISÉ</x:v>
      </x:c>
    </x:row>
    <x:row r="299">
      <x:c r="A299" s="18" t="n">
        <x:v>2026</x:v>
      </x:c>
      <x:c r="B299" s="18" t="n">
        <x:v>10</x:v>
      </x:c>
      <x:c r="C299" s="18" t="str">
        <x:v>Octobre</x:v>
      </x:c>
      <x:c r="D299" s="18" t="str">
        <x:v>Logistique</x:v>
      </x:c>
      <x:c r="E299" s="18" t="str">
        <x:v>Énergie &amp; Maintenance</x:v>
      </x:c>
      <x:c r="F299" s="26" t="n">
        <x:v>16900</x:v>
      </x:c>
      <x:c r="G299" s="26" t="n">
        <x:v>18400</x:v>
      </x:c>
      <x:c r="H299" s="22" t="n">
        <x:f>G299-F299</x:f>
        <x:v>1500</x:v>
      </x:c>
      <x:c r="I299" s="24" t="n">
        <x:f>IFERROR(H299/F299,0)</x:f>
        <x:v>0.08875739644970414</x:v>
      </x:c>
      <x:c r="J299" t="str">
        <x:f>IF(H299&gt;F299*(1+HYPOTHESES!$B$8),"ALERTE",IF(H299&gt;F299,"SURVEILLANCE","MAÎTRISÉ"))</x:f>
        <x:v>MAÎTRISÉ</x:v>
      </x:c>
    </x:row>
    <x:row r="300">
      <x:c r="A300" s="18" t="n">
        <x:v>2026</x:v>
      </x:c>
      <x:c r="B300" s="18" t="n">
        <x:v>10</x:v>
      </x:c>
      <x:c r="C300" s="18" t="str">
        <x:v>Octobre</x:v>
      </x:c>
      <x:c r="D300" s="18" t="str">
        <x:v>Logistique</x:v>
      </x:c>
      <x:c r="E300" s="18" t="str">
        <x:v>Logiciels &amp; Autres</x:v>
      </x:c>
      <x:c r="F300" s="26" t="n">
        <x:v>3100</x:v>
      </x:c>
      <x:c r="G300" s="26" t="n">
        <x:v>3300</x:v>
      </x:c>
      <x:c r="H300" s="22" t="n">
        <x:f>G300-F300</x:f>
        <x:v>200</x:v>
      </x:c>
      <x:c r="I300" s="24" t="n">
        <x:f>IFERROR(H300/F300,0)</x:f>
        <x:v>0.06451612903225806</x:v>
      </x:c>
      <x:c r="J300" t="str">
        <x:f>IF(H300&gt;F300*(1+HYPOTHESES!$B$8),"ALERTE",IF(H300&gt;F300,"SURVEILLANCE","MAÎTRISÉ"))</x:f>
        <x:v>MAÎTRISÉ</x:v>
      </x:c>
    </x:row>
    <x:row r="301">
      <x:c r="A301" s="18" t="n">
        <x:v>2026</x:v>
      </x:c>
      <x:c r="B301" s="18" t="n">
        <x:v>10</x:v>
      </x:c>
      <x:c r="C301" s="18" t="str">
        <x:v>Octobre</x:v>
      </x:c>
      <x:c r="D301" s="18" t="str">
        <x:v>Systèmes d’information</x:v>
      </x:c>
      <x:c r="E301" s="18" t="str">
        <x:v>Personnel</x:v>
      </x:c>
      <x:c r="F301" s="26" t="n">
        <x:v>72400</x:v>
      </x:c>
      <x:c r="G301" s="26" t="n">
        <x:v>76800</x:v>
      </x:c>
      <x:c r="H301" s="22" t="n">
        <x:f>G301-F301</x:f>
        <x:v>4400</x:v>
      </x:c>
      <x:c r="I301" s="24" t="n">
        <x:f>IFERROR(H301/F301,0)</x:f>
        <x:v>0.06077348066298342</x:v>
      </x:c>
      <x:c r="J301" t="str">
        <x:f>IF(H301&gt;F301*(1+HYPOTHESES!$B$8),"ALERTE",IF(H301&gt;F301,"SURVEILLANCE","MAÎTRISÉ"))</x:f>
        <x:v>MAÎTRISÉ</x:v>
      </x:c>
    </x:row>
    <x:row r="302">
      <x:c r="A302" s="18" t="n">
        <x:v>2026</x:v>
      </x:c>
      <x:c r="B302" s="18" t="n">
        <x:v>10</x:v>
      </x:c>
      <x:c r="C302" s="18" t="str">
        <x:v>Octobre</x:v>
      </x:c>
      <x:c r="D302" s="18" t="str">
        <x:v>Systèmes d’information</x:v>
      </x:c>
      <x:c r="E302" s="18" t="str">
        <x:v>Prestations externes</x:v>
      </x:c>
      <x:c r="F302" s="26" t="n">
        <x:v>17700</x:v>
      </x:c>
      <x:c r="G302" s="26" t="n">
        <x:v>19300</x:v>
      </x:c>
      <x:c r="H302" s="22" t="n">
        <x:f>G302-F302</x:f>
        <x:v>1600</x:v>
      </x:c>
      <x:c r="I302" s="24" t="n">
        <x:f>IFERROR(H302/F302,0)</x:f>
        <x:v>0.0903954802259887</x:v>
      </x:c>
      <x:c r="J302" t="str">
        <x:f>IF(H302&gt;F302*(1+HYPOTHESES!$B$8),"ALERTE",IF(H302&gt;F302,"SURVEILLANCE","MAÎTRISÉ"))</x:f>
        <x:v>MAÎTRISÉ</x:v>
      </x:c>
    </x:row>
    <x:row r="303">
      <x:c r="A303" s="18" t="n">
        <x:v>2026</x:v>
      </x:c>
      <x:c r="B303" s="18" t="n">
        <x:v>10</x:v>
      </x:c>
      <x:c r="C303" s="18" t="str">
        <x:v>Octobre</x:v>
      </x:c>
      <x:c r="D303" s="18" t="str">
        <x:v>Systèmes d’information</x:v>
      </x:c>
      <x:c r="E303" s="18" t="str">
        <x:v>Déplacements</x:v>
      </x:c>
      <x:c r="F303" s="26" t="n">
        <x:v>2000</x:v>
      </x:c>
      <x:c r="G303" s="26" t="n">
        <x:v>2200</x:v>
      </x:c>
      <x:c r="H303" s="22" t="n">
        <x:f>G303-F303</x:f>
        <x:v>200</x:v>
      </x:c>
      <x:c r="I303" s="24" t="n">
        <x:f>IFERROR(H303/F303,0)</x:f>
        <x:v>0.1</x:v>
      </x:c>
      <x:c r="J303" t="str">
        <x:f>IF(H303&gt;F303*(1+HYPOTHESES!$B$8),"ALERTE",IF(H303&gt;F303,"SURVEILLANCE","MAÎTRISÉ"))</x:f>
        <x:v>MAÎTRISÉ</x:v>
      </x:c>
    </x:row>
    <x:row r="304">
      <x:c r="A304" s="18" t="n">
        <x:v>2026</x:v>
      </x:c>
      <x:c r="B304" s="18" t="n">
        <x:v>10</x:v>
      </x:c>
      <x:c r="C304" s="18" t="str">
        <x:v>Octobre</x:v>
      </x:c>
      <x:c r="D304" s="18" t="str">
        <x:v>Systèmes d’information</x:v>
      </x:c>
      <x:c r="E304" s="18" t="str">
        <x:v>Énergie &amp; Maintenance</x:v>
      </x:c>
      <x:c r="F304" s="26" t="n">
        <x:v>2800</x:v>
      </x:c>
      <x:c r="G304" s="26" t="n">
        <x:v>3000</x:v>
      </x:c>
      <x:c r="H304" s="22" t="n">
        <x:f>G304-F304</x:f>
        <x:v>200</x:v>
      </x:c>
      <x:c r="I304" s="24" t="n">
        <x:f>IFERROR(H304/F304,0)</x:f>
        <x:v>0.07142857142857142</x:v>
      </x:c>
      <x:c r="J304" t="str">
        <x:f>IF(H304&gt;F304*(1+HYPOTHESES!$B$8),"ALERTE",IF(H304&gt;F304,"SURVEILLANCE","MAÎTRISÉ"))</x:f>
        <x:v>MAÎTRISÉ</x:v>
      </x:c>
    </x:row>
    <x:row r="305">
      <x:c r="A305" s="18" t="n">
        <x:v>2026</x:v>
      </x:c>
      <x:c r="B305" s="18" t="n">
        <x:v>10</x:v>
      </x:c>
      <x:c r="C305" s="18" t="str">
        <x:v>Octobre</x:v>
      </x:c>
      <x:c r="D305" s="18" t="str">
        <x:v>Systèmes d’information</x:v>
      </x:c>
      <x:c r="E305" s="18" t="str">
        <x:v>Logiciels &amp; Autres</x:v>
      </x:c>
      <x:c r="F305" s="26" t="n">
        <x:v>40200</x:v>
      </x:c>
      <x:c r="G305" s="26" t="n">
        <x:v>45600</x:v>
      </x:c>
      <x:c r="H305" s="22" t="n">
        <x:f>G305-F305</x:f>
        <x:v>5400</x:v>
      </x:c>
      <x:c r="I305" s="24" t="n">
        <x:f>IFERROR(H305/F305,0)</x:f>
        <x:v>0.13432835820895522</x:v>
      </x:c>
      <x:c r="J305" t="str">
        <x:f>IF(H305&gt;F305*(1+HYPOTHESES!$B$8),"ALERTE",IF(H305&gt;F305,"SURVEILLANCE","MAÎTRISÉ"))</x:f>
        <x:v>MAÎTRISÉ</x:v>
      </x:c>
    </x:row>
    <x:row r="306">
      <x:c r="A306" s="18" t="n">
        <x:v>2026</x:v>
      </x:c>
      <x:c r="B306" s="18" t="n">
        <x:v>11</x:v>
      </x:c>
      <x:c r="C306" s="18" t="str">
        <x:v>Novembre</x:v>
      </x:c>
      <x:c r="D306" s="18" t="str">
        <x:v>Direction générale</x:v>
      </x:c>
      <x:c r="E306" s="18" t="str">
        <x:v>Personnel</x:v>
      </x:c>
      <x:c r="F306" s="26" t="n">
        <x:v>77800</x:v>
      </x:c>
      <x:c r="G306" s="26" t="n">
        <x:v>70800</x:v>
      </x:c>
      <x:c r="H306" s="22" t="n">
        <x:f>G306-F306</x:f>
        <x:v>-7000</x:v>
      </x:c>
      <x:c r="I306" s="24" t="n">
        <x:f>IFERROR(H306/F306,0)</x:f>
        <x:v>-0.08997429305912596</x:v>
      </x:c>
      <x:c r="J306" t="str">
        <x:f>IF(H306&gt;F306*(1+HYPOTHESES!$B$8),"ALERTE",IF(H306&gt;F306,"SURVEILLANCE","MAÎTRISÉ"))</x:f>
        <x:v>MAÎTRISÉ</x:v>
      </x:c>
    </x:row>
    <x:row r="307">
      <x:c r="A307" s="18" t="n">
        <x:v>2026</x:v>
      </x:c>
      <x:c r="B307" s="18" t="n">
        <x:v>11</x:v>
      </x:c>
      <x:c r="C307" s="18" t="str">
        <x:v>Novembre</x:v>
      </x:c>
      <x:c r="D307" s="18" t="str">
        <x:v>Direction générale</x:v>
      </x:c>
      <x:c r="E307" s="18" t="str">
        <x:v>Prestations externes</x:v>
      </x:c>
      <x:c r="F307" s="26" t="n">
        <x:v>38100</x:v>
      </x:c>
      <x:c r="G307" s="26" t="n">
        <x:v>35600</x:v>
      </x:c>
      <x:c r="H307" s="22" t="n">
        <x:f>G307-F307</x:f>
        <x:v>-2500</x:v>
      </x:c>
      <x:c r="I307" s="24" t="n">
        <x:f>IFERROR(H307/F307,0)</x:f>
        <x:v>-0.06561679790026247</x:v>
      </x:c>
      <x:c r="J307" t="str">
        <x:f>IF(H307&gt;F307*(1+HYPOTHESES!$B$8),"ALERTE",IF(H307&gt;F307,"SURVEILLANCE","MAÎTRISÉ"))</x:f>
        <x:v>MAÎTRISÉ</x:v>
      </x:c>
    </x:row>
    <x:row r="308">
      <x:c r="A308" s="18" t="n">
        <x:v>2026</x:v>
      </x:c>
      <x:c r="B308" s="18" t="n">
        <x:v>11</x:v>
      </x:c>
      <x:c r="C308" s="18" t="str">
        <x:v>Novembre</x:v>
      </x:c>
      <x:c r="D308" s="18" t="str">
        <x:v>Direction générale</x:v>
      </x:c>
      <x:c r="E308" s="18" t="str">
        <x:v>Déplacements</x:v>
      </x:c>
      <x:c r="F308" s="26" t="n">
        <x:v>6700</x:v>
      </x:c>
      <x:c r="G308" s="26" t="n">
        <x:v>6500</x:v>
      </x:c>
      <x:c r="H308" s="22" t="n">
        <x:f>G308-F308</x:f>
        <x:v>-200</x:v>
      </x:c>
      <x:c r="I308" s="24" t="n">
        <x:f>IFERROR(H308/F308,0)</x:f>
        <x:v>-0.029850746268656716</x:v>
      </x:c>
      <x:c r="J308" t="str">
        <x:f>IF(H308&gt;F308*(1+HYPOTHESES!$B$8),"ALERTE",IF(H308&gt;F308,"SURVEILLANCE","MAÎTRISÉ"))</x:f>
        <x:v>MAÎTRISÉ</x:v>
      </x:c>
    </x:row>
    <x:row r="309">
      <x:c r="A309" s="18" t="n">
        <x:v>2026</x:v>
      </x:c>
      <x:c r="B309" s="18" t="n">
        <x:v>11</x:v>
      </x:c>
      <x:c r="C309" s="18" t="str">
        <x:v>Novembre</x:v>
      </x:c>
      <x:c r="D309" s="18" t="str">
        <x:v>Direction générale</x:v>
      </x:c>
      <x:c r="E309" s="18" t="str">
        <x:v>Énergie &amp; Maintenance</x:v>
      </x:c>
      <x:c r="F309" s="26" t="n">
        <x:v>8300</x:v>
      </x:c>
      <x:c r="G309" s="26" t="n">
        <x:v>8000</x:v>
      </x:c>
      <x:c r="H309" s="22" t="n">
        <x:f>G309-F309</x:f>
        <x:v>-300</x:v>
      </x:c>
      <x:c r="I309" s="24" t="n">
        <x:f>IFERROR(H309/F309,0)</x:f>
        <x:v>-0.03614457831325301</x:v>
      </x:c>
      <x:c r="J309" t="str">
        <x:f>IF(H309&gt;F309*(1+HYPOTHESES!$B$8),"ALERTE",IF(H309&gt;F309,"SURVEILLANCE","MAÎTRISÉ"))</x:f>
        <x:v>MAÎTRISÉ</x:v>
      </x:c>
    </x:row>
    <x:row r="310">
      <x:c r="A310" s="18" t="n">
        <x:v>2026</x:v>
      </x:c>
      <x:c r="B310" s="18" t="n">
        <x:v>11</x:v>
      </x:c>
      <x:c r="C310" s="18" t="str">
        <x:v>Novembre</x:v>
      </x:c>
      <x:c r="D310" s="18" t="str">
        <x:v>Direction générale</x:v>
      </x:c>
      <x:c r="E310" s="18" t="str">
        <x:v>Logiciels &amp; Autres</x:v>
      </x:c>
      <x:c r="F310" s="26" t="n">
        <x:v>5600</x:v>
      </x:c>
      <x:c r="G310" s="26" t="n">
        <x:v>5800</x:v>
      </x:c>
      <x:c r="H310" s="22" t="n">
        <x:f>G310-F310</x:f>
        <x:v>200</x:v>
      </x:c>
      <x:c r="I310" s="24" t="n">
        <x:f>IFERROR(H310/F310,0)</x:f>
        <x:v>0.03571428571428571</x:v>
      </x:c>
      <x:c r="J310" t="str">
        <x:f>IF(H310&gt;F310*(1+HYPOTHESES!$B$8),"ALERTE",IF(H310&gt;F310,"SURVEILLANCE","MAÎTRISÉ"))</x:f>
        <x:v>MAÎTRISÉ</x:v>
      </x:c>
    </x:row>
    <x:row r="311">
      <x:c r="A311" s="18" t="n">
        <x:v>2026</x:v>
      </x:c>
      <x:c r="B311" s="18" t="n">
        <x:v>11</x:v>
      </x:c>
      <x:c r="C311" s="18" t="str">
        <x:v>Novembre</x:v>
      </x:c>
      <x:c r="D311" s="18" t="str">
        <x:v>Finance &amp; Comptabilité</x:v>
      </x:c>
      <x:c r="E311" s="18" t="str">
        <x:v>Personnel</x:v>
      </x:c>
      <x:c r="F311" s="26" t="n">
        <x:v>56300</x:v>
      </x:c>
      <x:c r="G311" s="26" t="n">
        <x:v>58600</x:v>
      </x:c>
      <x:c r="H311" s="22" t="n">
        <x:f>G311-F311</x:f>
        <x:v>2300</x:v>
      </x:c>
      <x:c r="I311" s="24" t="n">
        <x:f>IFERROR(H311/F311,0)</x:f>
        <x:v>0.04085257548845471</x:v>
      </x:c>
      <x:c r="J311" t="str">
        <x:f>IF(H311&gt;F311*(1+HYPOTHESES!$B$8),"ALERTE",IF(H311&gt;F311,"SURVEILLANCE","MAÎTRISÉ"))</x:f>
        <x:v>MAÎTRISÉ</x:v>
      </x:c>
    </x:row>
    <x:row r="312">
      <x:c r="A312" s="18" t="n">
        <x:v>2026</x:v>
      </x:c>
      <x:c r="B312" s="18" t="n">
        <x:v>11</x:v>
      </x:c>
      <x:c r="C312" s="18" t="str">
        <x:v>Novembre</x:v>
      </x:c>
      <x:c r="D312" s="18" t="str">
        <x:v>Finance &amp; Comptabilité</x:v>
      </x:c>
      <x:c r="E312" s="18" t="str">
        <x:v>Prestations externes</x:v>
      </x:c>
      <x:c r="F312" s="26" t="n">
        <x:v>7500</x:v>
      </x:c>
      <x:c r="G312" s="26" t="n">
        <x:v>7700</x:v>
      </x:c>
      <x:c r="H312" s="22" t="n">
        <x:f>G312-F312</x:f>
        <x:v>200</x:v>
      </x:c>
      <x:c r="I312" s="24" t="n">
        <x:f>IFERROR(H312/F312,0)</x:f>
        <x:v>0.02666666666666667</x:v>
      </x:c>
      <x:c r="J312" t="str">
        <x:f>IF(H312&gt;F312*(1+HYPOTHESES!$B$8),"ALERTE",IF(H312&gt;F312,"SURVEILLANCE","MAÎTRISÉ"))</x:f>
        <x:v>MAÎTRISÉ</x:v>
      </x:c>
    </x:row>
    <x:row r="313">
      <x:c r="A313" s="18" t="n">
        <x:v>2026</x:v>
      </x:c>
      <x:c r="B313" s="18" t="n">
        <x:v>11</x:v>
      </x:c>
      <x:c r="C313" s="18" t="str">
        <x:v>Novembre</x:v>
      </x:c>
      <x:c r="D313" s="18" t="str">
        <x:v>Finance &amp; Comptabilité</x:v>
      </x:c>
      <x:c r="E313" s="18" t="str">
        <x:v>Déplacements</x:v>
      </x:c>
      <x:c r="F313" s="26" t="n">
        <x:v>2600</x:v>
      </x:c>
      <x:c r="G313" s="26" t="n">
        <x:v>2700</x:v>
      </x:c>
      <x:c r="H313" s="22" t="n">
        <x:f>G313-F313</x:f>
        <x:v>100</x:v>
      </x:c>
      <x:c r="I313" s="24" t="n">
        <x:f>IFERROR(H313/F313,0)</x:f>
        <x:v>0.038461538461538464</x:v>
      </x:c>
      <x:c r="J313" t="str">
        <x:f>IF(H313&gt;F313*(1+HYPOTHESES!$B$8),"ALERTE",IF(H313&gt;F313,"SURVEILLANCE","MAÎTRISÉ"))</x:f>
        <x:v>MAÎTRISÉ</x:v>
      </x:c>
    </x:row>
    <x:row r="314">
      <x:c r="A314" s="18" t="n">
        <x:v>2026</x:v>
      </x:c>
      <x:c r="B314" s="18" t="n">
        <x:v>11</x:v>
      </x:c>
      <x:c r="C314" s="18" t="str">
        <x:v>Novembre</x:v>
      </x:c>
      <x:c r="D314" s="18" t="str">
        <x:v>Finance &amp; Comptabilité</x:v>
      </x:c>
      <x:c r="E314" s="18" t="str">
        <x:v>Énergie &amp; Maintenance</x:v>
      </x:c>
      <x:c r="F314" s="26" t="n">
        <x:v>2200</x:v>
      </x:c>
      <x:c r="G314" s="26" t="n">
        <x:v>2200</x:v>
      </x:c>
      <x:c r="H314" s="22" t="n">
        <x:f>G314-F314</x:f>
        <x:v>0</x:v>
      </x:c>
      <x:c r="I314" s="24" t="n">
        <x:f>IFERROR(H314/F314,0)</x:f>
        <x:v>0</x:v>
      </x:c>
      <x:c r="J314" t="str">
        <x:f>IF(H314&gt;F314*(1+HYPOTHESES!$B$8),"ALERTE",IF(H314&gt;F314,"SURVEILLANCE","MAÎTRISÉ"))</x:f>
        <x:v>MAÎTRISÉ</x:v>
      </x:c>
    </x:row>
    <x:row r="315">
      <x:c r="A315" s="18" t="n">
        <x:v>2026</x:v>
      </x:c>
      <x:c r="B315" s="18" t="n">
        <x:v>11</x:v>
      </x:c>
      <x:c r="C315" s="18" t="str">
        <x:v>Novembre</x:v>
      </x:c>
      <x:c r="D315" s="18" t="str">
        <x:v>Finance &amp; Comptabilité</x:v>
      </x:c>
      <x:c r="E315" s="18" t="str">
        <x:v>Logiciels &amp; Autres</x:v>
      </x:c>
      <x:c r="F315" s="26" t="n">
        <x:v>4900</x:v>
      </x:c>
      <x:c r="G315" s="26" t="n">
        <x:v>5000</x:v>
      </x:c>
      <x:c r="H315" s="22" t="n">
        <x:f>G315-F315</x:f>
        <x:v>100</x:v>
      </x:c>
      <x:c r="I315" s="24" t="n">
        <x:f>IFERROR(H315/F315,0)</x:f>
        <x:v>0.02040816326530612</x:v>
      </x:c>
      <x:c r="J315" t="str">
        <x:f>IF(H315&gt;F315*(1+HYPOTHESES!$B$8),"ALERTE",IF(H315&gt;F315,"SURVEILLANCE","MAÎTRISÉ"))</x:f>
        <x:v>MAÎTRISÉ</x:v>
      </x:c>
    </x:row>
    <x:row r="316">
      <x:c r="A316" s="18" t="n">
        <x:v>2026</x:v>
      </x:c>
      <x:c r="B316" s="18" t="n">
        <x:v>11</x:v>
      </x:c>
      <x:c r="C316" s="18" t="str">
        <x:v>Novembre</x:v>
      </x:c>
      <x:c r="D316" s="18" t="str">
        <x:v>Commercial &amp; Marketing</x:v>
      </x:c>
      <x:c r="E316" s="18" t="str">
        <x:v>Personnel</x:v>
      </x:c>
      <x:c r="F316" s="26" t="n">
        <x:v>101600</x:v>
      </x:c>
      <x:c r="G316" s="26" t="n">
        <x:v>110400</x:v>
      </x:c>
      <x:c r="H316" s="22" t="n">
        <x:f>G316-F316</x:f>
        <x:v>8800</x:v>
      </x:c>
      <x:c r="I316" s="24" t="n">
        <x:f>IFERROR(H316/F316,0)</x:f>
        <x:v>0.08661417322834646</x:v>
      </x:c>
      <x:c r="J316" t="str">
        <x:f>IF(H316&gt;F316*(1+HYPOTHESES!$B$8),"ALERTE",IF(H316&gt;F316,"SURVEILLANCE","MAÎTRISÉ"))</x:f>
        <x:v>MAÎTRISÉ</x:v>
      </x:c>
    </x:row>
    <x:row r="317">
      <x:c r="A317" s="18" t="n">
        <x:v>2026</x:v>
      </x:c>
      <x:c r="B317" s="18" t="n">
        <x:v>11</x:v>
      </x:c>
      <x:c r="C317" s="18" t="str">
        <x:v>Novembre</x:v>
      </x:c>
      <x:c r="D317" s="18" t="str">
        <x:v>Commercial &amp; Marketing</x:v>
      </x:c>
      <x:c r="E317" s="18" t="str">
        <x:v>Prestations externes</x:v>
      </x:c>
      <x:c r="F317" s="26" t="n">
        <x:v>27000</x:v>
      </x:c>
      <x:c r="G317" s="26" t="n">
        <x:v>25800</x:v>
      </x:c>
      <x:c r="H317" s="22" t="n">
        <x:f>G317-F317</x:f>
        <x:v>-1200</x:v>
      </x:c>
      <x:c r="I317" s="24" t="n">
        <x:f>IFERROR(H317/F317,0)</x:f>
        <x:v>-0.044444444444444446</x:v>
      </x:c>
      <x:c r="J317" t="str">
        <x:f>IF(H317&gt;F317*(1+HYPOTHESES!$B$8),"ALERTE",IF(H317&gt;F317,"SURVEILLANCE","MAÎTRISÉ"))</x:f>
        <x:v>MAÎTRISÉ</x:v>
      </x:c>
    </x:row>
    <x:row r="318">
      <x:c r="A318" s="18" t="n">
        <x:v>2026</x:v>
      </x:c>
      <x:c r="B318" s="18" t="n">
        <x:v>11</x:v>
      </x:c>
      <x:c r="C318" s="18" t="str">
        <x:v>Novembre</x:v>
      </x:c>
      <x:c r="D318" s="18" t="str">
        <x:v>Commercial &amp; Marketing</x:v>
      </x:c>
      <x:c r="E318" s="18" t="str">
        <x:v>Déplacements</x:v>
      </x:c>
      <x:c r="F318" s="26" t="n">
        <x:v>17500</x:v>
      </x:c>
      <x:c r="G318" s="26" t="n">
        <x:v>18800</x:v>
      </x:c>
      <x:c r="H318" s="22" t="n">
        <x:f>G318-F318</x:f>
        <x:v>1300</x:v>
      </x:c>
      <x:c r="I318" s="24" t="n">
        <x:f>IFERROR(H318/F318,0)</x:f>
        <x:v>0.07428571428571429</x:v>
      </x:c>
      <x:c r="J318" t="str">
        <x:f>IF(H318&gt;F318*(1+HYPOTHESES!$B$8),"ALERTE",IF(H318&gt;F318,"SURVEILLANCE","MAÎTRISÉ"))</x:f>
        <x:v>MAÎTRISÉ</x:v>
      </x:c>
    </x:row>
    <x:row r="319">
      <x:c r="A319" s="18" t="n">
        <x:v>2026</x:v>
      </x:c>
      <x:c r="B319" s="18" t="n">
        <x:v>11</x:v>
      </x:c>
      <x:c r="C319" s="18" t="str">
        <x:v>Novembre</x:v>
      </x:c>
      <x:c r="D319" s="18" t="str">
        <x:v>Commercial &amp; Marketing</x:v>
      </x:c>
      <x:c r="E319" s="18" t="str">
        <x:v>Énergie &amp; Maintenance</x:v>
      </x:c>
      <x:c r="F319" s="26" t="n">
        <x:v>3300</x:v>
      </x:c>
      <x:c r="G319" s="26" t="n">
        <x:v>3400</x:v>
      </x:c>
      <x:c r="H319" s="22" t="n">
        <x:f>G319-F319</x:f>
        <x:v>100</x:v>
      </x:c>
      <x:c r="I319" s="24" t="n">
        <x:f>IFERROR(H319/F319,0)</x:f>
        <x:v>0.030303030303030304</x:v>
      </x:c>
      <x:c r="J319" t="str">
        <x:f>IF(H319&gt;F319*(1+HYPOTHESES!$B$8),"ALERTE",IF(H319&gt;F319,"SURVEILLANCE","MAÎTRISÉ"))</x:f>
        <x:v>MAÎTRISÉ</x:v>
      </x:c>
    </x:row>
    <x:row r="320">
      <x:c r="A320" s="18" t="n">
        <x:v>2026</x:v>
      </x:c>
      <x:c r="B320" s="18" t="n">
        <x:v>11</x:v>
      </x:c>
      <x:c r="C320" s="18" t="str">
        <x:v>Novembre</x:v>
      </x:c>
      <x:c r="D320" s="18" t="str">
        <x:v>Commercial &amp; Marketing</x:v>
      </x:c>
      <x:c r="E320" s="18" t="str">
        <x:v>Logiciels &amp; Autres</x:v>
      </x:c>
      <x:c r="F320" s="26" t="n">
        <x:v>9300</x:v>
      </x:c>
      <x:c r="G320" s="26" t="n">
        <x:v>9500</x:v>
      </x:c>
      <x:c r="H320" s="22" t="n">
        <x:f>G320-F320</x:f>
        <x:v>200</x:v>
      </x:c>
      <x:c r="I320" s="24" t="n">
        <x:f>IFERROR(H320/F320,0)</x:f>
        <x:v>0.021505376344086023</x:v>
      </x:c>
      <x:c r="J320" t="str">
        <x:f>IF(H320&gt;F320*(1+HYPOTHESES!$B$8),"ALERTE",IF(H320&gt;F320,"SURVEILLANCE","MAÎTRISÉ"))</x:f>
        <x:v>MAÎTRISÉ</x:v>
      </x:c>
    </x:row>
    <x:row r="321">
      <x:c r="A321" s="18" t="n">
        <x:v>2026</x:v>
      </x:c>
      <x:c r="B321" s="18" t="n">
        <x:v>11</x:v>
      </x:c>
      <x:c r="C321" s="18" t="str">
        <x:v>Novembre</x:v>
      </x:c>
      <x:c r="D321" s="18" t="str">
        <x:v>Production</x:v>
      </x:c>
      <x:c r="E321" s="18" t="str">
        <x:v>Personnel</x:v>
      </x:c>
      <x:c r="F321" s="26" t="n">
        <x:v>156300</x:v>
      </x:c>
      <x:c r="G321" s="26" t="n">
        <x:v>152900</x:v>
      </x:c>
      <x:c r="H321" s="22" t="n">
        <x:f>G321-F321</x:f>
        <x:v>-3400</x:v>
      </x:c>
      <x:c r="I321" s="24" t="n">
        <x:f>IFERROR(H321/F321,0)</x:f>
        <x:v>-0.021753039027511197</x:v>
      </x:c>
      <x:c r="J321" t="str">
        <x:f>IF(H321&gt;F321*(1+HYPOTHESES!$B$8),"ALERTE",IF(H321&gt;F321,"SURVEILLANCE","MAÎTRISÉ"))</x:f>
        <x:v>MAÎTRISÉ</x:v>
      </x:c>
    </x:row>
    <x:row r="322">
      <x:c r="A322" s="18" t="n">
        <x:v>2026</x:v>
      </x:c>
      <x:c r="B322" s="18" t="n">
        <x:v>11</x:v>
      </x:c>
      <x:c r="C322" s="18" t="str">
        <x:v>Novembre</x:v>
      </x:c>
      <x:c r="D322" s="18" t="str">
        <x:v>Production</x:v>
      </x:c>
      <x:c r="E322" s="18" t="str">
        <x:v>Prestations externes</x:v>
      </x:c>
      <x:c r="F322" s="26" t="n">
        <x:v>54000</x:v>
      </x:c>
      <x:c r="G322" s="26" t="n">
        <x:v>55800</x:v>
      </x:c>
      <x:c r="H322" s="22" t="n">
        <x:f>G322-F322</x:f>
        <x:v>1800</x:v>
      </x:c>
      <x:c r="I322" s="24" t="n">
        <x:f>IFERROR(H322/F322,0)</x:f>
        <x:v>0.03333333333333333</x:v>
      </x:c>
      <x:c r="J322" t="str">
        <x:f>IF(H322&gt;F322*(1+HYPOTHESES!$B$8),"ALERTE",IF(H322&gt;F322,"SURVEILLANCE","MAÎTRISÉ"))</x:f>
        <x:v>MAÎTRISÉ</x:v>
      </x:c>
    </x:row>
    <x:row r="323">
      <x:c r="A323" s="18" t="n">
        <x:v>2026</x:v>
      </x:c>
      <x:c r="B323" s="18" t="n">
        <x:v>11</x:v>
      </x:c>
      <x:c r="C323" s="18" t="str">
        <x:v>Novembre</x:v>
      </x:c>
      <x:c r="D323" s="18" t="str">
        <x:v>Production</x:v>
      </x:c>
      <x:c r="E323" s="18" t="str">
        <x:v>Déplacements</x:v>
      </x:c>
      <x:c r="F323" s="26" t="n">
        <x:v>6700</x:v>
      </x:c>
      <x:c r="G323" s="26" t="n">
        <x:v>7000</x:v>
      </x:c>
      <x:c r="H323" s="22" t="n">
        <x:f>G323-F323</x:f>
        <x:v>300</x:v>
      </x:c>
      <x:c r="I323" s="24" t="n">
        <x:f>IFERROR(H323/F323,0)</x:f>
        <x:v>0.04477611940298507</x:v>
      </x:c>
      <x:c r="J323" t="str">
        <x:f>IF(H323&gt;F323*(1+HYPOTHESES!$B$8),"ALERTE",IF(H323&gt;F323,"SURVEILLANCE","MAÎTRISÉ"))</x:f>
        <x:v>MAÎTRISÉ</x:v>
      </x:c>
    </x:row>
    <x:row r="324">
      <x:c r="A324" s="18" t="n">
        <x:v>2026</x:v>
      </x:c>
      <x:c r="B324" s="18" t="n">
        <x:v>11</x:v>
      </x:c>
      <x:c r="C324" s="18" t="str">
        <x:v>Novembre</x:v>
      </x:c>
      <x:c r="D324" s="18" t="str">
        <x:v>Production</x:v>
      </x:c>
      <x:c r="E324" s="18" t="str">
        <x:v>Énergie &amp; Maintenance</x:v>
      </x:c>
      <x:c r="F324" s="26" t="n">
        <x:v>42900</x:v>
      </x:c>
      <x:c r="G324" s="26" t="n">
        <x:v>49400</x:v>
      </x:c>
      <x:c r="H324" s="22" t="n">
        <x:f>G324-F324</x:f>
        <x:v>6500</x:v>
      </x:c>
      <x:c r="I324" s="24" t="n">
        <x:f>IFERROR(H324/F324,0)</x:f>
        <x:v>0.15151515151515152</x:v>
      </x:c>
      <x:c r="J324" t="str">
        <x:f>IF(H324&gt;F324*(1+HYPOTHESES!$B$8),"ALERTE",IF(H324&gt;F324,"SURVEILLANCE","MAÎTRISÉ"))</x:f>
        <x:v>MAÎTRISÉ</x:v>
      </x:c>
    </x:row>
    <x:row r="325">
      <x:c r="A325" s="18" t="n">
        <x:v>2026</x:v>
      </x:c>
      <x:c r="B325" s="18" t="n">
        <x:v>11</x:v>
      </x:c>
      <x:c r="C325" s="18" t="str">
        <x:v>Novembre</x:v>
      </x:c>
      <x:c r="D325" s="18" t="str">
        <x:v>Production</x:v>
      </x:c>
      <x:c r="E325" s="18" t="str">
        <x:v>Logiciels &amp; Autres</x:v>
      </x:c>
      <x:c r="F325" s="26" t="n">
        <x:v>5200</x:v>
      </x:c>
      <x:c r="G325" s="26" t="n">
        <x:v>5600</x:v>
      </x:c>
      <x:c r="H325" s="22" t="n">
        <x:f>G325-F325</x:f>
        <x:v>400</x:v>
      </x:c>
      <x:c r="I325" s="24" t="n">
        <x:f>IFERROR(H325/F325,0)</x:f>
        <x:v>0.07692307692307693</x:v>
      </x:c>
      <x:c r="J325" t="str">
        <x:f>IF(H325&gt;F325*(1+HYPOTHESES!$B$8),"ALERTE",IF(H325&gt;F325,"SURVEILLANCE","MAÎTRISÉ"))</x:f>
        <x:v>MAÎTRISÉ</x:v>
      </x:c>
    </x:row>
    <x:row r="326">
      <x:c r="A326" s="18" t="n">
        <x:v>2026</x:v>
      </x:c>
      <x:c r="B326" s="18" t="n">
        <x:v>11</x:v>
      </x:c>
      <x:c r="C326" s="18" t="str">
        <x:v>Novembre</x:v>
      </x:c>
      <x:c r="D326" s="18" t="str">
        <x:v>Logistique</x:v>
      </x:c>
      <x:c r="E326" s="18" t="str">
        <x:v>Personnel</x:v>
      </x:c>
      <x:c r="F326" s="26" t="n">
        <x:v>61900</x:v>
      </x:c>
      <x:c r="G326" s="26" t="n">
        <x:v>65900</x:v>
      </x:c>
      <x:c r="H326" s="22" t="n">
        <x:f>G326-F326</x:f>
        <x:v>4000</x:v>
      </x:c>
      <x:c r="I326" s="24" t="n">
        <x:f>IFERROR(H326/F326,0)</x:f>
        <x:v>0.06462035541195477</x:v>
      </x:c>
      <x:c r="J326" t="str">
        <x:f>IF(H326&gt;F326*(1+HYPOTHESES!$B$8),"ALERTE",IF(H326&gt;F326,"SURVEILLANCE","MAÎTRISÉ"))</x:f>
        <x:v>MAÎTRISÉ</x:v>
      </x:c>
    </x:row>
    <x:row r="327">
      <x:c r="A327" s="18" t="n">
        <x:v>2026</x:v>
      </x:c>
      <x:c r="B327" s="18" t="n">
        <x:v>11</x:v>
      </x:c>
      <x:c r="C327" s="18" t="str">
        <x:v>Novembre</x:v>
      </x:c>
      <x:c r="D327" s="18" t="str">
        <x:v>Logistique</x:v>
      </x:c>
      <x:c r="E327" s="18" t="str">
        <x:v>Prestations externes</x:v>
      </x:c>
      <x:c r="F327" s="26" t="n">
        <x:v>36500</x:v>
      </x:c>
      <x:c r="G327" s="26" t="n">
        <x:v>35600</x:v>
      </x:c>
      <x:c r="H327" s="22" t="n">
        <x:f>G327-F327</x:f>
        <x:v>-900</x:v>
      </x:c>
      <x:c r="I327" s="24" t="n">
        <x:f>IFERROR(H327/F327,0)</x:f>
        <x:v>-0.024657534246575342</x:v>
      </x:c>
      <x:c r="J327" t="str">
        <x:f>IF(H327&gt;F327*(1+HYPOTHESES!$B$8),"ALERTE",IF(H327&gt;F327,"SURVEILLANCE","MAÎTRISÉ"))</x:f>
        <x:v>MAÎTRISÉ</x:v>
      </x:c>
    </x:row>
    <x:row r="328">
      <x:c r="A328" s="18" t="n">
        <x:v>2026</x:v>
      </x:c>
      <x:c r="B328" s="18" t="n">
        <x:v>11</x:v>
      </x:c>
      <x:c r="C328" s="18" t="str">
        <x:v>Novembre</x:v>
      </x:c>
      <x:c r="D328" s="18" t="str">
        <x:v>Logistique</x:v>
      </x:c>
      <x:c r="E328" s="18" t="str">
        <x:v>Déplacements</x:v>
      </x:c>
      <x:c r="F328" s="26" t="n">
        <x:v>7600</x:v>
      </x:c>
      <x:c r="G328" s="26" t="n">
        <x:v>8200</x:v>
      </x:c>
      <x:c r="H328" s="22" t="n">
        <x:f>G328-F328</x:f>
        <x:v>600</x:v>
      </x:c>
      <x:c r="I328" s="24" t="n">
        <x:f>IFERROR(H328/F328,0)</x:f>
        <x:v>0.07894736842105263</x:v>
      </x:c>
      <x:c r="J328" t="str">
        <x:f>IF(H328&gt;F328*(1+HYPOTHESES!$B$8),"ALERTE",IF(H328&gt;F328,"SURVEILLANCE","MAÎTRISÉ"))</x:f>
        <x:v>MAÎTRISÉ</x:v>
      </x:c>
    </x:row>
    <x:row r="329">
      <x:c r="A329" s="18" t="n">
        <x:v>2026</x:v>
      </x:c>
      <x:c r="B329" s="18" t="n">
        <x:v>11</x:v>
      </x:c>
      <x:c r="C329" s="18" t="str">
        <x:v>Novembre</x:v>
      </x:c>
      <x:c r="D329" s="18" t="str">
        <x:v>Logistique</x:v>
      </x:c>
      <x:c r="E329" s="18" t="str">
        <x:v>Énergie &amp; Maintenance</x:v>
      </x:c>
      <x:c r="F329" s="26" t="n">
        <x:v>17100</x:v>
      </x:c>
      <x:c r="G329" s="26" t="n">
        <x:v>19200</x:v>
      </x:c>
      <x:c r="H329" s="22" t="n">
        <x:f>G329-F329</x:f>
        <x:v>2100</x:v>
      </x:c>
      <x:c r="I329" s="24" t="n">
        <x:f>IFERROR(H329/F329,0)</x:f>
        <x:v>0.12280701754385964</x:v>
      </x:c>
      <x:c r="J329" t="str">
        <x:f>IF(H329&gt;F329*(1+HYPOTHESES!$B$8),"ALERTE",IF(H329&gt;F329,"SURVEILLANCE","MAÎTRISÉ"))</x:f>
        <x:v>MAÎTRISÉ</x:v>
      </x:c>
    </x:row>
    <x:row r="330">
      <x:c r="A330" s="18" t="n">
        <x:v>2026</x:v>
      </x:c>
      <x:c r="B330" s="18" t="n">
        <x:v>11</x:v>
      </x:c>
      <x:c r="C330" s="18" t="str">
        <x:v>Novembre</x:v>
      </x:c>
      <x:c r="D330" s="18" t="str">
        <x:v>Logistique</x:v>
      </x:c>
      <x:c r="E330" s="18" t="str">
        <x:v>Logiciels &amp; Autres</x:v>
      </x:c>
      <x:c r="F330" s="26" t="n">
        <x:v>3100</x:v>
      </x:c>
      <x:c r="G330" s="26" t="n">
        <x:v>3600</x:v>
      </x:c>
      <x:c r="H330" s="22" t="n">
        <x:f>G330-F330</x:f>
        <x:v>500</x:v>
      </x:c>
      <x:c r="I330" s="24" t="n">
        <x:f>IFERROR(H330/F330,0)</x:f>
        <x:v>0.16129032258064516</x:v>
      </x:c>
      <x:c r="J330" t="str">
        <x:f>IF(H330&gt;F330*(1+HYPOTHESES!$B$8),"ALERTE",IF(H330&gt;F330,"SURVEILLANCE","MAÎTRISÉ"))</x:f>
        <x:v>MAÎTRISÉ</x:v>
      </x:c>
    </x:row>
    <x:row r="331">
      <x:c r="A331" s="18" t="n">
        <x:v>2026</x:v>
      </x:c>
      <x:c r="B331" s="18" t="n">
        <x:v>11</x:v>
      </x:c>
      <x:c r="C331" s="18" t="str">
        <x:v>Novembre</x:v>
      </x:c>
      <x:c r="D331" s="18" t="str">
        <x:v>Systèmes d’information</x:v>
      </x:c>
      <x:c r="E331" s="18" t="str">
        <x:v>Personnel</x:v>
      </x:c>
      <x:c r="F331" s="26" t="n">
        <x:v>73000</x:v>
      </x:c>
      <x:c r="G331" s="26" t="n">
        <x:v>81500</x:v>
      </x:c>
      <x:c r="H331" s="22" t="n">
        <x:f>G331-F331</x:f>
        <x:v>8500</x:v>
      </x:c>
      <x:c r="I331" s="24" t="n">
        <x:f>IFERROR(H331/F331,0)</x:f>
        <x:v>0.11643835616438356</x:v>
      </x:c>
      <x:c r="J331" t="str">
        <x:f>IF(H331&gt;F331*(1+HYPOTHESES!$B$8),"ALERTE",IF(H331&gt;F331,"SURVEILLANCE","MAÎTRISÉ"))</x:f>
        <x:v>MAÎTRISÉ</x:v>
      </x:c>
    </x:row>
    <x:row r="332">
      <x:c r="A332" s="18" t="n">
        <x:v>2026</x:v>
      </x:c>
      <x:c r="B332" s="18" t="n">
        <x:v>11</x:v>
      </x:c>
      <x:c r="C332" s="18" t="str">
        <x:v>Novembre</x:v>
      </x:c>
      <x:c r="D332" s="18" t="str">
        <x:v>Systèmes d’information</x:v>
      </x:c>
      <x:c r="E332" s="18" t="str">
        <x:v>Prestations externes</x:v>
      </x:c>
      <x:c r="F332" s="26" t="n">
        <x:v>17900</x:v>
      </x:c>
      <x:c r="G332" s="26" t="n">
        <x:v>18700</x:v>
      </x:c>
      <x:c r="H332" s="22" t="n">
        <x:f>G332-F332</x:f>
        <x:v>800</x:v>
      </x:c>
      <x:c r="I332" s="24" t="n">
        <x:f>IFERROR(H332/F332,0)</x:f>
        <x:v>0.0446927374301676</x:v>
      </x:c>
      <x:c r="J332" t="str">
        <x:f>IF(H332&gt;F332*(1+HYPOTHESES!$B$8),"ALERTE",IF(H332&gt;F332,"SURVEILLANCE","MAÎTRISÉ"))</x:f>
        <x:v>MAÎTRISÉ</x:v>
      </x:c>
    </x:row>
    <x:row r="333">
      <x:c r="A333" s="18" t="n">
        <x:v>2026</x:v>
      </x:c>
      <x:c r="B333" s="18" t="n">
        <x:v>11</x:v>
      </x:c>
      <x:c r="C333" s="18" t="str">
        <x:v>Novembre</x:v>
      </x:c>
      <x:c r="D333" s="18" t="str">
        <x:v>Systèmes d’information</x:v>
      </x:c>
      <x:c r="E333" s="18" t="str">
        <x:v>Déplacements</x:v>
      </x:c>
      <x:c r="F333" s="26" t="n">
        <x:v>2100</x:v>
      </x:c>
      <x:c r="G333" s="26" t="n">
        <x:v>2300</x:v>
      </x:c>
      <x:c r="H333" s="22" t="n">
        <x:f>G333-F333</x:f>
        <x:v>200</x:v>
      </x:c>
      <x:c r="I333" s="24" t="n">
        <x:f>IFERROR(H333/F333,0)</x:f>
        <x:v>0.09523809523809523</x:v>
      </x:c>
      <x:c r="J333" t="str">
        <x:f>IF(H333&gt;F333*(1+HYPOTHESES!$B$8),"ALERTE",IF(H333&gt;F333,"SURVEILLANCE","MAÎTRISÉ"))</x:f>
        <x:v>MAÎTRISÉ</x:v>
      </x:c>
    </x:row>
    <x:row r="334">
      <x:c r="A334" s="18" t="n">
        <x:v>2026</x:v>
      </x:c>
      <x:c r="B334" s="18" t="n">
        <x:v>11</x:v>
      </x:c>
      <x:c r="C334" s="18" t="str">
        <x:v>Novembre</x:v>
      </x:c>
      <x:c r="D334" s="18" t="str">
        <x:v>Systèmes d’information</x:v>
      </x:c>
      <x:c r="E334" s="18" t="str">
        <x:v>Énergie &amp; Maintenance</x:v>
      </x:c>
      <x:c r="F334" s="26" t="n">
        <x:v>2800</x:v>
      </x:c>
      <x:c r="G334" s="26" t="n">
        <x:v>2900</x:v>
      </x:c>
      <x:c r="H334" s="22" t="n">
        <x:f>G334-F334</x:f>
        <x:v>100</x:v>
      </x:c>
      <x:c r="I334" s="24" t="n">
        <x:f>IFERROR(H334/F334,0)</x:f>
        <x:v>0.03571428571428571</x:v>
      </x:c>
      <x:c r="J334" t="str">
        <x:f>IF(H334&gt;F334*(1+HYPOTHESES!$B$8),"ALERTE",IF(H334&gt;F334,"SURVEILLANCE","MAÎTRISÉ"))</x:f>
        <x:v>MAÎTRISÉ</x:v>
      </x:c>
    </x:row>
    <x:row r="335">
      <x:c r="A335" s="18" t="n">
        <x:v>2026</x:v>
      </x:c>
      <x:c r="B335" s="18" t="n">
        <x:v>11</x:v>
      </x:c>
      <x:c r="C335" s="18" t="str">
        <x:v>Novembre</x:v>
      </x:c>
      <x:c r="D335" s="18" t="str">
        <x:v>Systèmes d’information</x:v>
      </x:c>
      <x:c r="E335" s="18" t="str">
        <x:v>Logiciels &amp; Autres</x:v>
      </x:c>
      <x:c r="F335" s="26" t="n">
        <x:v>40500</x:v>
      </x:c>
      <x:c r="G335" s="26" t="n">
        <x:v>45400</x:v>
      </x:c>
      <x:c r="H335" s="22" t="n">
        <x:f>G335-F335</x:f>
        <x:v>4900</x:v>
      </x:c>
      <x:c r="I335" s="24" t="n">
        <x:f>IFERROR(H335/F335,0)</x:f>
        <x:v>0.12098765432098765</x:v>
      </x:c>
      <x:c r="J335" t="str">
        <x:f>IF(H335&gt;F335*(1+HYPOTHESES!$B$8),"ALERTE",IF(H335&gt;F335,"SURVEILLANCE","MAÎTRISÉ"))</x:f>
        <x:v>MAÎTRISÉ</x:v>
      </x:c>
    </x:row>
    <x:row r="336">
      <x:c r="A336" s="18" t="n">
        <x:v>2026</x:v>
      </x:c>
      <x:c r="B336" s="18" t="n">
        <x:v>12</x:v>
      </x:c>
      <x:c r="C336" s="18" t="str">
        <x:v>Décembre</x:v>
      </x:c>
      <x:c r="D336" s="18" t="str">
        <x:v>Direction générale</x:v>
      </x:c>
      <x:c r="E336" s="18" t="str">
        <x:v>Personnel</x:v>
      </x:c>
      <x:c r="F336" s="26" t="n">
        <x:v>86800</x:v>
      </x:c>
      <x:c r="G336" s="26" t="n">
        <x:v>92500</x:v>
      </x:c>
      <x:c r="H336" s="22" t="n">
        <x:f>G336-F336</x:f>
        <x:v>5700</x:v>
      </x:c>
      <x:c r="I336" s="24" t="n">
        <x:f>IFERROR(H336/F336,0)</x:f>
        <x:v>0.06566820276497695</x:v>
      </x:c>
      <x:c r="J336" t="str">
        <x:f>IF(H336&gt;F336*(1+HYPOTHESES!$B$8),"ALERTE",IF(H336&gt;F336,"SURVEILLANCE","MAÎTRISÉ"))</x:f>
        <x:v>MAÎTRISÉ</x:v>
      </x:c>
    </x:row>
    <x:row r="337">
      <x:c r="A337" s="18" t="n">
        <x:v>2026</x:v>
      </x:c>
      <x:c r="B337" s="18" t="n">
        <x:v>12</x:v>
      </x:c>
      <x:c r="C337" s="18" t="str">
        <x:v>Décembre</x:v>
      </x:c>
      <x:c r="D337" s="18" t="str">
        <x:v>Direction générale</x:v>
      </x:c>
      <x:c r="E337" s="18" t="str">
        <x:v>Prestations externes</x:v>
      </x:c>
      <x:c r="F337" s="26" t="n">
        <x:v>38900</x:v>
      </x:c>
      <x:c r="G337" s="26" t="n">
        <x:v>41700</x:v>
      </x:c>
      <x:c r="H337" s="22" t="n">
        <x:f>G337-F337</x:f>
        <x:v>2800</x:v>
      </x:c>
      <x:c r="I337" s="24" t="n">
        <x:f>IFERROR(H337/F337,0)</x:f>
        <x:v>0.07197943444730077</x:v>
      </x:c>
      <x:c r="J337" t="str">
        <x:f>IF(H337&gt;F337*(1+HYPOTHESES!$B$8),"ALERTE",IF(H337&gt;F337,"SURVEILLANCE","MAÎTRISÉ"))</x:f>
        <x:v>MAÎTRISÉ</x:v>
      </x:c>
    </x:row>
    <x:row r="338">
      <x:c r="A338" s="18" t="n">
        <x:v>2026</x:v>
      </x:c>
      <x:c r="B338" s="18" t="n">
        <x:v>12</x:v>
      </x:c>
      <x:c r="C338" s="18" t="str">
        <x:v>Décembre</x:v>
      </x:c>
      <x:c r="D338" s="18" t="str">
        <x:v>Direction générale</x:v>
      </x:c>
      <x:c r="E338" s="18" t="str">
        <x:v>Déplacements</x:v>
      </x:c>
      <x:c r="F338" s="26" t="n">
        <x:v>6800</x:v>
      </x:c>
      <x:c r="G338" s="26" t="n">
        <x:v>6800</x:v>
      </x:c>
      <x:c r="H338" s="22" t="n">
        <x:f>G338-F338</x:f>
        <x:v>0</x:v>
      </x:c>
      <x:c r="I338" s="24" t="n">
        <x:f>IFERROR(H338/F338,0)</x:f>
        <x:v>0</x:v>
      </x:c>
      <x:c r="J338" t="str">
        <x:f>IF(H338&gt;F338*(1+HYPOTHESES!$B$8),"ALERTE",IF(H338&gt;F338,"SURVEILLANCE","MAÎTRISÉ"))</x:f>
        <x:v>MAÎTRISÉ</x:v>
      </x:c>
    </x:row>
    <x:row r="339">
      <x:c r="A339" s="18" t="n">
        <x:v>2026</x:v>
      </x:c>
      <x:c r="B339" s="18" t="n">
        <x:v>12</x:v>
      </x:c>
      <x:c r="C339" s="18" t="str">
        <x:v>Décembre</x:v>
      </x:c>
      <x:c r="D339" s="18" t="str">
        <x:v>Direction générale</x:v>
      </x:c>
      <x:c r="E339" s="18" t="str">
        <x:v>Énergie &amp; Maintenance</x:v>
      </x:c>
      <x:c r="F339" s="26" t="n">
        <x:v>8500</x:v>
      </x:c>
      <x:c r="G339" s="26" t="n">
        <x:v>8300</x:v>
      </x:c>
      <x:c r="H339" s="22" t="n">
        <x:f>G339-F339</x:f>
        <x:v>-200</x:v>
      </x:c>
      <x:c r="I339" s="24" t="n">
        <x:f>IFERROR(H339/F339,0)</x:f>
        <x:v>-0.023529411764705882</x:v>
      </x:c>
      <x:c r="J339" t="str">
        <x:f>IF(H339&gt;F339*(1+HYPOTHESES!$B$8),"ALERTE",IF(H339&gt;F339,"SURVEILLANCE","MAÎTRISÉ"))</x:f>
        <x:v>MAÎTRISÉ</x:v>
      </x:c>
    </x:row>
    <x:row r="340">
      <x:c r="A340" s="18" t="n">
        <x:v>2026</x:v>
      </x:c>
      <x:c r="B340" s="18" t="n">
        <x:v>12</x:v>
      </x:c>
      <x:c r="C340" s="18" t="str">
        <x:v>Décembre</x:v>
      </x:c>
      <x:c r="D340" s="18" t="str">
        <x:v>Direction générale</x:v>
      </x:c>
      <x:c r="E340" s="18" t="str">
        <x:v>Logiciels &amp; Autres</x:v>
      </x:c>
      <x:c r="F340" s="26" t="n">
        <x:v>5800</x:v>
      </x:c>
      <x:c r="G340" s="26" t="n">
        <x:v>6000</x:v>
      </x:c>
      <x:c r="H340" s="22" t="n">
        <x:f>G340-F340</x:f>
        <x:v>200</x:v>
      </x:c>
      <x:c r="I340" s="24" t="n">
        <x:f>IFERROR(H340/F340,0)</x:f>
        <x:v>0.034482758620689655</x:v>
      </x:c>
      <x:c r="J340" t="str">
        <x:f>IF(H340&gt;F340*(1+HYPOTHESES!$B$8),"ALERTE",IF(H340&gt;F340,"SURVEILLANCE","MAÎTRISÉ"))</x:f>
        <x:v>MAÎTRISÉ</x:v>
      </x:c>
    </x:row>
    <x:row r="341">
      <x:c r="A341" s="18" t="n">
        <x:v>2026</x:v>
      </x:c>
      <x:c r="B341" s="18" t="n">
        <x:v>12</x:v>
      </x:c>
      <x:c r="C341" s="18" t="str">
        <x:v>Décembre</x:v>
      </x:c>
      <x:c r="D341" s="18" t="str">
        <x:v>Finance &amp; Comptabilité</x:v>
      </x:c>
      <x:c r="E341" s="18" t="str">
        <x:v>Personnel</x:v>
      </x:c>
      <x:c r="F341" s="26" t="n">
        <x:v>62900</x:v>
      </x:c>
      <x:c r="G341" s="26" t="n">
        <x:v>65500</x:v>
      </x:c>
      <x:c r="H341" s="22" t="n">
        <x:f>G341-F341</x:f>
        <x:v>2600</x:v>
      </x:c>
      <x:c r="I341" s="24" t="n">
        <x:f>IFERROR(H341/F341,0)</x:f>
        <x:v>0.04133545310015898</x:v>
      </x:c>
      <x:c r="J341" t="str">
        <x:f>IF(H341&gt;F341*(1+HYPOTHESES!$B$8),"ALERTE",IF(H341&gt;F341,"SURVEILLANCE","MAÎTRISÉ"))</x:f>
        <x:v>MAÎTRISÉ</x:v>
      </x:c>
    </x:row>
    <x:row r="342">
      <x:c r="A342" s="18" t="n">
        <x:v>2026</x:v>
      </x:c>
      <x:c r="B342" s="18" t="n">
        <x:v>12</x:v>
      </x:c>
      <x:c r="C342" s="18" t="str">
        <x:v>Décembre</x:v>
      </x:c>
      <x:c r="D342" s="18" t="str">
        <x:v>Finance &amp; Comptabilité</x:v>
      </x:c>
      <x:c r="E342" s="18" t="str">
        <x:v>Prestations externes</x:v>
      </x:c>
      <x:c r="F342" s="26" t="n">
        <x:v>7700</x:v>
      </x:c>
      <x:c r="G342" s="26" t="n">
        <x:v>7800</x:v>
      </x:c>
      <x:c r="H342" s="22" t="n">
        <x:f>G342-F342</x:f>
        <x:v>100</x:v>
      </x:c>
      <x:c r="I342" s="24" t="n">
        <x:f>IFERROR(H342/F342,0)</x:f>
        <x:v>0.012987012987012988</x:v>
      </x:c>
      <x:c r="J342" t="str">
        <x:f>IF(H342&gt;F342*(1+HYPOTHESES!$B$8),"ALERTE",IF(H342&gt;F342,"SURVEILLANCE","MAÎTRISÉ"))</x:f>
        <x:v>MAÎTRISÉ</x:v>
      </x:c>
    </x:row>
    <x:row r="343">
      <x:c r="A343" s="18" t="n">
        <x:v>2026</x:v>
      </x:c>
      <x:c r="B343" s="18" t="n">
        <x:v>12</x:v>
      </x:c>
      <x:c r="C343" s="18" t="str">
        <x:v>Décembre</x:v>
      </x:c>
      <x:c r="D343" s="18" t="str">
        <x:v>Finance &amp; Comptabilité</x:v>
      </x:c>
      <x:c r="E343" s="18" t="str">
        <x:v>Déplacements</x:v>
      </x:c>
      <x:c r="F343" s="26" t="n">
        <x:v>2700</x:v>
      </x:c>
      <x:c r="G343" s="26" t="n">
        <x:v>2900</x:v>
      </x:c>
      <x:c r="H343" s="22" t="n">
        <x:f>G343-F343</x:f>
        <x:v>200</x:v>
      </x:c>
      <x:c r="I343" s="24" t="n">
        <x:f>IFERROR(H343/F343,0)</x:f>
        <x:v>0.07407407407407407</x:v>
      </x:c>
      <x:c r="J343" t="str">
        <x:f>IF(H343&gt;F343*(1+HYPOTHESES!$B$8),"ALERTE",IF(H343&gt;F343,"SURVEILLANCE","MAÎTRISÉ"))</x:f>
        <x:v>MAÎTRISÉ</x:v>
      </x:c>
    </x:row>
    <x:row r="344">
      <x:c r="A344" s="18" t="n">
        <x:v>2026</x:v>
      </x:c>
      <x:c r="B344" s="18" t="n">
        <x:v>12</x:v>
      </x:c>
      <x:c r="C344" s="18" t="str">
        <x:v>Décembre</x:v>
      </x:c>
      <x:c r="D344" s="18" t="str">
        <x:v>Finance &amp; Comptabilité</x:v>
      </x:c>
      <x:c r="E344" s="18" t="str">
        <x:v>Énergie &amp; Maintenance</x:v>
      </x:c>
      <x:c r="F344" s="26" t="n">
        <x:v>2300</x:v>
      </x:c>
      <x:c r="G344" s="26" t="n">
        <x:v>2400</x:v>
      </x:c>
      <x:c r="H344" s="22" t="n">
        <x:f>G344-F344</x:f>
        <x:v>100</x:v>
      </x:c>
      <x:c r="I344" s="24" t="n">
        <x:f>IFERROR(H344/F344,0)</x:f>
        <x:v>0.043478260869565216</x:v>
      </x:c>
      <x:c r="J344" t="str">
        <x:f>IF(H344&gt;F344*(1+HYPOTHESES!$B$8),"ALERTE",IF(H344&gt;F344,"SURVEILLANCE","MAÎTRISÉ"))</x:f>
        <x:v>MAÎTRISÉ</x:v>
      </x:c>
    </x:row>
    <x:row r="345">
      <x:c r="A345" s="18" t="n">
        <x:v>2026</x:v>
      </x:c>
      <x:c r="B345" s="18" t="n">
        <x:v>12</x:v>
      </x:c>
      <x:c r="C345" s="18" t="str">
        <x:v>Décembre</x:v>
      </x:c>
      <x:c r="D345" s="18" t="str">
        <x:v>Finance &amp; Comptabilité</x:v>
      </x:c>
      <x:c r="E345" s="18" t="str">
        <x:v>Logiciels &amp; Autres</x:v>
      </x:c>
      <x:c r="F345" s="26" t="n">
        <x:v>5000</x:v>
      </x:c>
      <x:c r="G345" s="26" t="n">
        <x:v>4900</x:v>
      </x:c>
      <x:c r="H345" s="22" t="n">
        <x:f>G345-F345</x:f>
        <x:v>-100</x:v>
      </x:c>
      <x:c r="I345" s="24" t="n">
        <x:f>IFERROR(H345/F345,0)</x:f>
        <x:v>-0.02</x:v>
      </x:c>
      <x:c r="J345" t="str">
        <x:f>IF(H345&gt;F345*(1+HYPOTHESES!$B$8),"ALERTE",IF(H345&gt;F345,"SURVEILLANCE","MAÎTRISÉ"))</x:f>
        <x:v>MAÎTRISÉ</x:v>
      </x:c>
    </x:row>
    <x:row r="346">
      <x:c r="A346" s="18" t="n">
        <x:v>2026</x:v>
      </x:c>
      <x:c r="B346" s="18" t="n">
        <x:v>12</x:v>
      </x:c>
      <x:c r="C346" s="18" t="str">
        <x:v>Décembre</x:v>
      </x:c>
      <x:c r="D346" s="18" t="str">
        <x:v>Commercial &amp; Marketing</x:v>
      </x:c>
      <x:c r="E346" s="18" t="str">
        <x:v>Personnel</x:v>
      </x:c>
      <x:c r="F346" s="26" t="n">
        <x:v>113300</x:v>
      </x:c>
      <x:c r="G346" s="26" t="n">
        <x:v>113800</x:v>
      </x:c>
      <x:c r="H346" s="22" t="n">
        <x:f>G346-F346</x:f>
        <x:v>500</x:v>
      </x:c>
      <x:c r="I346" s="24" t="n">
        <x:f>IFERROR(H346/F346,0)</x:f>
        <x:v>0.00441306266548985</x:v>
      </x:c>
      <x:c r="J346" t="str">
        <x:f>IF(H346&gt;F346*(1+HYPOTHESES!$B$8),"ALERTE",IF(H346&gt;F346,"SURVEILLANCE","MAÎTRISÉ"))</x:f>
        <x:v>MAÎTRISÉ</x:v>
      </x:c>
    </x:row>
    <x:row r="347">
      <x:c r="A347" s="18" t="n">
        <x:v>2026</x:v>
      </x:c>
      <x:c r="B347" s="18" t="n">
        <x:v>12</x:v>
      </x:c>
      <x:c r="C347" s="18" t="str">
        <x:v>Décembre</x:v>
      </x:c>
      <x:c r="D347" s="18" t="str">
        <x:v>Commercial &amp; Marketing</x:v>
      </x:c>
      <x:c r="E347" s="18" t="str">
        <x:v>Prestations externes</x:v>
      </x:c>
      <x:c r="F347" s="26" t="n">
        <x:v>27600</x:v>
      </x:c>
      <x:c r="G347" s="26" t="n">
        <x:v>29500</x:v>
      </x:c>
      <x:c r="H347" s="22" t="n">
        <x:f>G347-F347</x:f>
        <x:v>1900</x:v>
      </x:c>
      <x:c r="I347" s="24" t="n">
        <x:f>IFERROR(H347/F347,0)</x:f>
        <x:v>0.06884057971014493</x:v>
      </x:c>
      <x:c r="J347" t="str">
        <x:f>IF(H347&gt;F347*(1+HYPOTHESES!$B$8),"ALERTE",IF(H347&gt;F347,"SURVEILLANCE","MAÎTRISÉ"))</x:f>
        <x:v>MAÎTRISÉ</x:v>
      </x:c>
    </x:row>
    <x:row r="348">
      <x:c r="A348" s="18" t="n">
        <x:v>2026</x:v>
      </x:c>
      <x:c r="B348" s="18" t="n">
        <x:v>12</x:v>
      </x:c>
      <x:c r="C348" s="18" t="str">
        <x:v>Décembre</x:v>
      </x:c>
      <x:c r="D348" s="18" t="str">
        <x:v>Commercial &amp; Marketing</x:v>
      </x:c>
      <x:c r="E348" s="18" t="str">
        <x:v>Déplacements</x:v>
      </x:c>
      <x:c r="F348" s="26" t="n">
        <x:v>17800</x:v>
      </x:c>
      <x:c r="G348" s="26" t="n">
        <x:v>18300</x:v>
      </x:c>
      <x:c r="H348" s="22" t="n">
        <x:f>G348-F348</x:f>
        <x:v>500</x:v>
      </x:c>
      <x:c r="I348" s="24" t="n">
        <x:f>IFERROR(H348/F348,0)</x:f>
        <x:v>0.028089887640449437</x:v>
      </x:c>
      <x:c r="J348" t="str">
        <x:f>IF(H348&gt;F348*(1+HYPOTHESES!$B$8),"ALERTE",IF(H348&gt;F348,"SURVEILLANCE","MAÎTRISÉ"))</x:f>
        <x:v>MAÎTRISÉ</x:v>
      </x:c>
    </x:row>
    <x:row r="349">
      <x:c r="A349" s="18" t="n">
        <x:v>2026</x:v>
      </x:c>
      <x:c r="B349" s="18" t="n">
        <x:v>12</x:v>
      </x:c>
      <x:c r="C349" s="18" t="str">
        <x:v>Décembre</x:v>
      </x:c>
      <x:c r="D349" s="18" t="str">
        <x:v>Commercial &amp; Marketing</x:v>
      </x:c>
      <x:c r="E349" s="18" t="str">
        <x:v>Énergie &amp; Maintenance</x:v>
      </x:c>
      <x:c r="F349" s="26" t="n">
        <x:v>3400</x:v>
      </x:c>
      <x:c r="G349" s="26" t="n">
        <x:v>3400</x:v>
      </x:c>
      <x:c r="H349" s="22" t="n">
        <x:f>G349-F349</x:f>
        <x:v>0</x:v>
      </x:c>
      <x:c r="I349" s="24" t="n">
        <x:f>IFERROR(H349/F349,0)</x:f>
        <x:v>0</x:v>
      </x:c>
      <x:c r="J349" t="str">
        <x:f>IF(H349&gt;F349*(1+HYPOTHESES!$B$8),"ALERTE",IF(H349&gt;F349,"SURVEILLANCE","MAÎTRISÉ"))</x:f>
        <x:v>MAÎTRISÉ</x:v>
      </x:c>
    </x:row>
    <x:row r="350">
      <x:c r="A350" s="18" t="n">
        <x:v>2026</x:v>
      </x:c>
      <x:c r="B350" s="18" t="n">
        <x:v>12</x:v>
      </x:c>
      <x:c r="C350" s="18" t="str">
        <x:v>Décembre</x:v>
      </x:c>
      <x:c r="D350" s="18" t="str">
        <x:v>Commercial &amp; Marketing</x:v>
      </x:c>
      <x:c r="E350" s="18" t="str">
        <x:v>Logiciels &amp; Autres</x:v>
      </x:c>
      <x:c r="F350" s="26" t="n">
        <x:v>9500</x:v>
      </x:c>
      <x:c r="G350" s="26" t="n">
        <x:v>10100</x:v>
      </x:c>
      <x:c r="H350" s="22" t="n">
        <x:f>G350-F350</x:f>
        <x:v>600</x:v>
      </x:c>
      <x:c r="I350" s="24" t="n">
        <x:f>IFERROR(H350/F350,0)</x:f>
        <x:v>0.06315789473684211</x:v>
      </x:c>
      <x:c r="J350" t="str">
        <x:f>IF(H350&gt;F350*(1+HYPOTHESES!$B$8),"ALERTE",IF(H350&gt;F350,"SURVEILLANCE","MAÎTRISÉ"))</x:f>
        <x:v>MAÎTRISÉ</x:v>
      </x:c>
    </x:row>
    <x:row r="351">
      <x:c r="A351" s="18" t="n">
        <x:v>2026</x:v>
      </x:c>
      <x:c r="B351" s="18" t="n">
        <x:v>12</x:v>
      </x:c>
      <x:c r="C351" s="18" t="str">
        <x:v>Décembre</x:v>
      </x:c>
      <x:c r="D351" s="18" t="str">
        <x:v>Production</x:v>
      </x:c>
      <x:c r="E351" s="18" t="str">
        <x:v>Personnel</x:v>
      </x:c>
      <x:c r="F351" s="26" t="n">
        <x:v>174400</x:v>
      </x:c>
      <x:c r="G351" s="26" t="n">
        <x:v>187200</x:v>
      </x:c>
      <x:c r="H351" s="22" t="n">
        <x:f>G351-F351</x:f>
        <x:v>12800</x:v>
      </x:c>
      <x:c r="I351" s="24" t="n">
        <x:f>IFERROR(H351/F351,0)</x:f>
        <x:v>0.07339449541284404</x:v>
      </x:c>
      <x:c r="J351" t="str">
        <x:f>IF(H351&gt;F351*(1+HYPOTHESES!$B$8),"ALERTE",IF(H351&gt;F351,"SURVEILLANCE","MAÎTRISÉ"))</x:f>
        <x:v>MAÎTRISÉ</x:v>
      </x:c>
    </x:row>
    <x:row r="352">
      <x:c r="A352" s="18" t="n">
        <x:v>2026</x:v>
      </x:c>
      <x:c r="B352" s="18" t="n">
        <x:v>12</x:v>
      </x:c>
      <x:c r="C352" s="18" t="str">
        <x:v>Décembre</x:v>
      </x:c>
      <x:c r="D352" s="18" t="str">
        <x:v>Production</x:v>
      </x:c>
      <x:c r="E352" s="18" t="str">
        <x:v>Prestations externes</x:v>
      </x:c>
      <x:c r="F352" s="26" t="n">
        <x:v>55100</x:v>
      </x:c>
      <x:c r="G352" s="26" t="n">
        <x:v>54300</x:v>
      </x:c>
      <x:c r="H352" s="22" t="n">
        <x:f>G352-F352</x:f>
        <x:v>-800</x:v>
      </x:c>
      <x:c r="I352" s="24" t="n">
        <x:f>IFERROR(H352/F352,0)</x:f>
        <x:v>-0.014519056261343012</x:v>
      </x:c>
      <x:c r="J352" t="str">
        <x:f>IF(H352&gt;F352*(1+HYPOTHESES!$B$8),"ALERTE",IF(H352&gt;F352,"SURVEILLANCE","MAÎTRISÉ"))</x:f>
        <x:v>MAÎTRISÉ</x:v>
      </x:c>
    </x:row>
    <x:row r="353">
      <x:c r="A353" s="18" t="n">
        <x:v>2026</x:v>
      </x:c>
      <x:c r="B353" s="18" t="n">
        <x:v>12</x:v>
      </x:c>
      <x:c r="C353" s="18" t="str">
        <x:v>Décembre</x:v>
      </x:c>
      <x:c r="D353" s="18" t="str">
        <x:v>Production</x:v>
      </x:c>
      <x:c r="E353" s="18" t="str">
        <x:v>Déplacements</x:v>
      </x:c>
      <x:c r="F353" s="26" t="n">
        <x:v>6900</x:v>
      </x:c>
      <x:c r="G353" s="26" t="n">
        <x:v>7100</x:v>
      </x:c>
      <x:c r="H353" s="22" t="n">
        <x:f>G353-F353</x:f>
        <x:v>200</x:v>
      </x:c>
      <x:c r="I353" s="24" t="n">
        <x:f>IFERROR(H353/F353,0)</x:f>
        <x:v>0.028985507246376812</x:v>
      </x:c>
      <x:c r="J353" t="str">
        <x:f>IF(H353&gt;F353*(1+HYPOTHESES!$B$8),"ALERTE",IF(H353&gt;F353,"SURVEILLANCE","MAÎTRISÉ"))</x:f>
        <x:v>MAÎTRISÉ</x:v>
      </x:c>
    </x:row>
    <x:row r="354">
      <x:c r="A354" s="18" t="n">
        <x:v>2026</x:v>
      </x:c>
      <x:c r="B354" s="18" t="n">
        <x:v>12</x:v>
      </x:c>
      <x:c r="C354" s="18" t="str">
        <x:v>Décembre</x:v>
      </x:c>
      <x:c r="D354" s="18" t="str">
        <x:v>Production</x:v>
      </x:c>
      <x:c r="E354" s="18" t="str">
        <x:v>Énergie &amp; Maintenance</x:v>
      </x:c>
      <x:c r="F354" s="26" t="n">
        <x:v>43800</x:v>
      </x:c>
      <x:c r="G354" s="26" t="n">
        <x:v>54700</x:v>
      </x:c>
      <x:c r="H354" s="22" t="n">
        <x:f>G354-F354</x:f>
        <x:v>10900</x:v>
      </x:c>
      <x:c r="I354" s="24" t="n">
        <x:f>IFERROR(H354/F354,0)</x:f>
        <x:v>0.24885844748858446</x:v>
      </x:c>
      <x:c r="J354" t="str">
        <x:f>IF(H354&gt;F354*(1+HYPOTHESES!$B$8),"ALERTE",IF(H354&gt;F354,"SURVEILLANCE","MAÎTRISÉ"))</x:f>
        <x:v>MAÎTRISÉ</x:v>
      </x:c>
    </x:row>
    <x:row r="355">
      <x:c r="A355" s="18" t="n">
        <x:v>2026</x:v>
      </x:c>
      <x:c r="B355" s="18" t="n">
        <x:v>12</x:v>
      </x:c>
      <x:c r="C355" s="18" t="str">
        <x:v>Décembre</x:v>
      </x:c>
      <x:c r="D355" s="18" t="str">
        <x:v>Production</x:v>
      </x:c>
      <x:c r="E355" s="18" t="str">
        <x:v>Logiciels &amp; Autres</x:v>
      </x:c>
      <x:c r="F355" s="26" t="n">
        <x:v>5300</x:v>
      </x:c>
      <x:c r="G355" s="26" t="n">
        <x:v>5500</x:v>
      </x:c>
      <x:c r="H355" s="22" t="n">
        <x:f>G355-F355</x:f>
        <x:v>200</x:v>
      </x:c>
      <x:c r="I355" s="24" t="n">
        <x:f>IFERROR(H355/F355,0)</x:f>
        <x:v>0.03773584905660377</x:v>
      </x:c>
      <x:c r="J355" t="str">
        <x:f>IF(H355&gt;F355*(1+HYPOTHESES!$B$8),"ALERTE",IF(H355&gt;F355,"SURVEILLANCE","MAÎTRISÉ"))</x:f>
        <x:v>MAÎTRISÉ</x:v>
      </x:c>
    </x:row>
    <x:row r="356">
      <x:c r="A356" s="18" t="n">
        <x:v>2026</x:v>
      </x:c>
      <x:c r="B356" s="18" t="n">
        <x:v>12</x:v>
      </x:c>
      <x:c r="C356" s="18" t="str">
        <x:v>Décembre</x:v>
      </x:c>
      <x:c r="D356" s="18" t="str">
        <x:v>Logistique</x:v>
      </x:c>
      <x:c r="E356" s="18" t="str">
        <x:v>Personnel</x:v>
      </x:c>
      <x:c r="F356" s="26" t="n">
        <x:v>69100</x:v>
      </x:c>
      <x:c r="G356" s="26" t="n">
        <x:v>76100</x:v>
      </x:c>
      <x:c r="H356" s="22" t="n">
        <x:f>G356-F356</x:f>
        <x:v>7000</x:v>
      </x:c>
      <x:c r="I356" s="24" t="n">
        <x:f>IFERROR(H356/F356,0)</x:f>
        <x:v>0.10130246020260492</x:v>
      </x:c>
      <x:c r="J356" t="str">
        <x:f>IF(H356&gt;F356*(1+HYPOTHESES!$B$8),"ALERTE",IF(H356&gt;F356,"SURVEILLANCE","MAÎTRISÉ"))</x:f>
        <x:v>MAÎTRISÉ</x:v>
      </x:c>
    </x:row>
    <x:row r="357">
      <x:c r="A357" s="18" t="n">
        <x:v>2026</x:v>
      </x:c>
      <x:c r="B357" s="18" t="n">
        <x:v>12</x:v>
      </x:c>
      <x:c r="C357" s="18" t="str">
        <x:v>Décembre</x:v>
      </x:c>
      <x:c r="D357" s="18" t="str">
        <x:v>Logistique</x:v>
      </x:c>
      <x:c r="E357" s="18" t="str">
        <x:v>Prestations externes</x:v>
      </x:c>
      <x:c r="F357" s="26" t="n">
        <x:v>37300</x:v>
      </x:c>
      <x:c r="G357" s="26" t="n">
        <x:v>40200</x:v>
      </x:c>
      <x:c r="H357" s="22" t="n">
        <x:f>G357-F357</x:f>
        <x:v>2900</x:v>
      </x:c>
      <x:c r="I357" s="24" t="n">
        <x:f>IFERROR(H357/F357,0)</x:f>
        <x:v>0.0777479892761394</x:v>
      </x:c>
      <x:c r="J357" t="str">
        <x:f>IF(H357&gt;F357*(1+HYPOTHESES!$B$8),"ALERTE",IF(H357&gt;F357,"SURVEILLANCE","MAÎTRISÉ"))</x:f>
        <x:v>MAÎTRISÉ</x:v>
      </x:c>
    </x:row>
    <x:row r="358">
      <x:c r="A358" s="18" t="n">
        <x:v>2026</x:v>
      </x:c>
      <x:c r="B358" s="18" t="n">
        <x:v>12</x:v>
      </x:c>
      <x:c r="C358" s="18" t="str">
        <x:v>Décembre</x:v>
      </x:c>
      <x:c r="D358" s="18" t="str">
        <x:v>Logistique</x:v>
      </x:c>
      <x:c r="E358" s="18" t="str">
        <x:v>Déplacements</x:v>
      </x:c>
      <x:c r="F358" s="26" t="n">
        <x:v>7800</x:v>
      </x:c>
      <x:c r="G358" s="26" t="n">
        <x:v>8500</x:v>
      </x:c>
      <x:c r="H358" s="22" t="n">
        <x:f>G358-F358</x:f>
        <x:v>700</x:v>
      </x:c>
      <x:c r="I358" s="24" t="n">
        <x:f>IFERROR(H358/F358,0)</x:f>
        <x:v>0.08974358974358974</x:v>
      </x:c>
      <x:c r="J358" t="str">
        <x:f>IF(H358&gt;F358*(1+HYPOTHESES!$B$8),"ALERTE",IF(H358&gt;F358,"SURVEILLANCE","MAÎTRISÉ"))</x:f>
        <x:v>MAÎTRISÉ</x:v>
      </x:c>
    </x:row>
    <x:row r="359">
      <x:c r="A359" s="18" t="n">
        <x:v>2026</x:v>
      </x:c>
      <x:c r="B359" s="18" t="n">
        <x:v>12</x:v>
      </x:c>
      <x:c r="C359" s="18" t="str">
        <x:v>Décembre</x:v>
      </x:c>
      <x:c r="D359" s="18" t="str">
        <x:v>Logistique</x:v>
      </x:c>
      <x:c r="E359" s="18" t="str">
        <x:v>Énergie &amp; Maintenance</x:v>
      </x:c>
      <x:c r="F359" s="26" t="n">
        <x:v>17400</x:v>
      </x:c>
      <x:c r="G359" s="26" t="n">
        <x:v>19100</x:v>
      </x:c>
      <x:c r="H359" s="22" t="n">
        <x:f>G359-F359</x:f>
        <x:v>1700</x:v>
      </x:c>
      <x:c r="I359" s="24" t="n">
        <x:f>IFERROR(H359/F359,0)</x:f>
        <x:v>0.09770114942528736</x:v>
      </x:c>
      <x:c r="J359" t="str">
        <x:f>IF(H359&gt;F359*(1+HYPOTHESES!$B$8),"ALERTE",IF(H359&gt;F359,"SURVEILLANCE","MAÎTRISÉ"))</x:f>
        <x:v>MAÎTRISÉ</x:v>
      </x:c>
    </x:row>
    <x:row r="360">
      <x:c r="A360" s="18" t="n">
        <x:v>2026</x:v>
      </x:c>
      <x:c r="B360" s="18" t="n">
        <x:v>12</x:v>
      </x:c>
      <x:c r="C360" s="18" t="str">
        <x:v>Décembre</x:v>
      </x:c>
      <x:c r="D360" s="18" t="str">
        <x:v>Logistique</x:v>
      </x:c>
      <x:c r="E360" s="18" t="str">
        <x:v>Logiciels &amp; Autres</x:v>
      </x:c>
      <x:c r="F360" s="26" t="n">
        <x:v>3200</x:v>
      </x:c>
      <x:c r="G360" s="26" t="n">
        <x:v>3400</x:v>
      </x:c>
      <x:c r="H360" s="22" t="n">
        <x:f>G360-F360</x:f>
        <x:v>200</x:v>
      </x:c>
      <x:c r="I360" s="24" t="n">
        <x:f>IFERROR(H360/F360,0)</x:f>
        <x:v>0.0625</x:v>
      </x:c>
      <x:c r="J360" t="str">
        <x:f>IF(H360&gt;F360*(1+HYPOTHESES!$B$8),"ALERTE",IF(H360&gt;F360,"SURVEILLANCE","MAÎTRISÉ"))</x:f>
        <x:v>MAÎTRISÉ</x:v>
      </x:c>
    </x:row>
    <x:row r="361">
      <x:c r="A361" s="18" t="n">
        <x:v>2026</x:v>
      </x:c>
      <x:c r="B361" s="18" t="n">
        <x:v>12</x:v>
      </x:c>
      <x:c r="C361" s="18" t="str">
        <x:v>Décembre</x:v>
      </x:c>
      <x:c r="D361" s="18" t="str">
        <x:v>Systèmes d’information</x:v>
      </x:c>
      <x:c r="E361" s="18" t="str">
        <x:v>Personnel</x:v>
      </x:c>
      <x:c r="F361" s="26" t="n">
        <x:v>81500</x:v>
      </x:c>
      <x:c r="G361" s="26" t="n">
        <x:v>91500</x:v>
      </x:c>
      <x:c r="H361" s="22" t="n">
        <x:f>G361-F361</x:f>
        <x:v>10000</x:v>
      </x:c>
      <x:c r="I361" s="24" t="n">
        <x:f>IFERROR(H361/F361,0)</x:f>
        <x:v>0.12269938650306748</x:v>
      </x:c>
      <x:c r="J361" t="str">
        <x:f>IF(H361&gt;F361*(1+HYPOTHESES!$B$8),"ALERTE",IF(H361&gt;F361,"SURVEILLANCE","MAÎTRISÉ"))</x:f>
        <x:v>MAÎTRISÉ</x:v>
      </x:c>
    </x:row>
    <x:row r="362">
      <x:c r="A362" s="18" t="n">
        <x:v>2026</x:v>
      </x:c>
      <x:c r="B362" s="18" t="n">
        <x:v>12</x:v>
      </x:c>
      <x:c r="C362" s="18" t="str">
        <x:v>Décembre</x:v>
      </x:c>
      <x:c r="D362" s="18" t="str">
        <x:v>Systèmes d’information</x:v>
      </x:c>
      <x:c r="E362" s="18" t="str">
        <x:v>Prestations externes</x:v>
      </x:c>
      <x:c r="F362" s="26" t="n">
        <x:v>18200</x:v>
      </x:c>
      <x:c r="G362" s="26" t="n">
        <x:v>19500</x:v>
      </x:c>
      <x:c r="H362" s="22" t="n">
        <x:f>G362-F362</x:f>
        <x:v>1300</x:v>
      </x:c>
      <x:c r="I362" s="24" t="n">
        <x:f>IFERROR(H362/F362,0)</x:f>
        <x:v>0.07142857142857142</x:v>
      </x:c>
      <x:c r="J362" t="str">
        <x:f>IF(H362&gt;F362*(1+HYPOTHESES!$B$8),"ALERTE",IF(H362&gt;F362,"SURVEILLANCE","MAÎTRISÉ"))</x:f>
        <x:v>MAÎTRISÉ</x:v>
      </x:c>
    </x:row>
    <x:row r="363">
      <x:c r="A363" s="18" t="n">
        <x:v>2026</x:v>
      </x:c>
      <x:c r="B363" s="18" t="n">
        <x:v>12</x:v>
      </x:c>
      <x:c r="C363" s="18" t="str">
        <x:v>Décembre</x:v>
      </x:c>
      <x:c r="D363" s="18" t="str">
        <x:v>Systèmes d’information</x:v>
      </x:c>
      <x:c r="E363" s="18" t="str">
        <x:v>Déplacements</x:v>
      </x:c>
      <x:c r="F363" s="26" t="n">
        <x:v>2100</x:v>
      </x:c>
      <x:c r="G363" s="26" t="n">
        <x:v>2400</x:v>
      </x:c>
      <x:c r="H363" s="22" t="n">
        <x:f>G363-F363</x:f>
        <x:v>300</x:v>
      </x:c>
      <x:c r="I363" s="24" t="n">
        <x:f>IFERROR(H363/F363,0)</x:f>
        <x:v>0.14285714285714285</x:v>
      </x:c>
      <x:c r="J363" t="str">
        <x:f>IF(H363&gt;F363*(1+HYPOTHESES!$B$8),"ALERTE",IF(H363&gt;F363,"SURVEILLANCE","MAÎTRISÉ"))</x:f>
        <x:v>MAÎTRISÉ</x:v>
      </x:c>
    </x:row>
    <x:row r="364">
      <x:c r="A364" s="18" t="n">
        <x:v>2026</x:v>
      </x:c>
      <x:c r="B364" s="18" t="n">
        <x:v>12</x:v>
      </x:c>
      <x:c r="C364" s="18" t="str">
        <x:v>Décembre</x:v>
      </x:c>
      <x:c r="D364" s="18" t="str">
        <x:v>Systèmes d’information</x:v>
      </x:c>
      <x:c r="E364" s="18" t="str">
        <x:v>Énergie &amp; Maintenance</x:v>
      </x:c>
      <x:c r="F364" s="26" t="n">
        <x:v>2800</x:v>
      </x:c>
      <x:c r="G364" s="26" t="n">
        <x:v>3200</x:v>
      </x:c>
      <x:c r="H364" s="22" t="n">
        <x:f>G364-F364</x:f>
        <x:v>400</x:v>
      </x:c>
      <x:c r="I364" s="24" t="n">
        <x:f>IFERROR(H364/F364,0)</x:f>
        <x:v>0.14285714285714285</x:v>
      </x:c>
      <x:c r="J364" t="str">
        <x:f>IF(H364&gt;F364*(1+HYPOTHESES!$B$8),"ALERTE",IF(H364&gt;F364,"SURVEILLANCE","MAÎTRISÉ"))</x:f>
        <x:v>MAÎTRISÉ</x:v>
      </x:c>
    </x:row>
    <x:row r="365">
      <x:c r="A365" s="18" t="n">
        <x:v>2026</x:v>
      </x:c>
      <x:c r="B365" s="18" t="n">
        <x:v>12</x:v>
      </x:c>
      <x:c r="C365" s="18" t="str">
        <x:v>Décembre</x:v>
      </x:c>
      <x:c r="D365" s="18" t="str">
        <x:v>Systèmes d’information</x:v>
      </x:c>
      <x:c r="E365" s="18" t="str">
        <x:v>Logiciels &amp; Autres</x:v>
      </x:c>
      <x:c r="F365" s="26" t="n">
        <x:v>41300</x:v>
      </x:c>
      <x:c r="G365" s="26" t="n">
        <x:v>44000</x:v>
      </x:c>
      <x:c r="H365" s="22" t="n">
        <x:f>G365-F365</x:f>
        <x:v>2700</x:v>
      </x:c>
      <x:c r="I365" s="24" t="n">
        <x:f>IFERROR(H365/F365,0)</x:f>
        <x:v>0.06537530266343826</x:v>
      </x:c>
      <x:c r="J365" t="str">
        <x:f>IF(H365&gt;F365*(1+HYPOTHESES!$B$8),"ALERTE",IF(H365&gt;F365,"SURVEILLANCE","MAÎTRISÉ"))</x:f>
        <x:v>MAÎTRISÉ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502c5b752dc44de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6" hidden="0" customWidth="1"/>
    <x:col min="3" max="3" width="45" hidden="0" customWidth="1"/>
  </x:cols>
  <x:sheetData>
    <x:row r="1" ht="24" customHeight="1">
      <x:c r="A1" s="4" t="str">
        <x:v>HYPOTHÈSES ET PARAMÈTRES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2" customHeight="1">
      <x:c r="A3" s="9" t="str">
        <x:v>Société fictive : ATLAS SERVICES INDUSTRIELS SA  |  Exercice 2026  |  Tous montants en MAD</x:v>
      </x:c>
      <x:c r="B3" s="9"/>
      <x:c r="C3" s="9"/>
      <x:c r="D3" s="9"/>
      <x:c r="E3" s="9"/>
      <x:c r="F3" s="9"/>
      <x:c r="G3" s="9"/>
      <x:c r="H3" s="9"/>
      <x:c r="I3" s="9"/>
    </x:row>
    <x:row r="6" ht="27" customHeight="1">
      <x:c r="A6" s="13" t="str">
        <x:v>Paramètre</x:v>
      </x:c>
      <x:c r="B6" s="13" t="str">
        <x:v>Valeur</x:v>
      </x:c>
      <x:c r="C6" s="13" t="str">
        <x:v>Description / origine</x:v>
      </x:c>
    </x:row>
    <x:row r="7">
      <x:c r="A7" t="str">
        <x:v>Exercice</x:v>
      </x:c>
      <x:c r="B7" s="18" t="n">
        <x:v>2026</x:v>
      </x:c>
      <x:c r="C7" t="str">
        <x:v>Simulation pédagogique, données fictives</x:v>
      </x:c>
    </x:row>
    <x:row r="8">
      <x:c r="A8" t="str">
        <x:v>Taux de tolérance</x:v>
      </x:c>
      <x:c r="B8" s="19" t="n">
        <x:v>0.05</x:v>
      </x:c>
      <x:c r="C8" t="str">
        <x:v>Alerte au-delà de 5 % de dépassement</x:v>
      </x:c>
    </x:row>
    <x:row r="9">
      <x:c r="A9" t="str">
        <x:v>Profil de variation mois</x:v>
      </x:c>
      <x:c r="B9" s="18" t="n">
        <x:v>0</x:v>
      </x:c>
      <x:c r="C9" t="str">
        <x:v>Coefficient de contrôle, base 0 %</x:v>
      </x:c>
    </x:row>
    <x:row r="10">
      <x:c r="A10" t="str">
        <x:v>Statut données</x:v>
      </x:c>
      <x:c r="B10" t="str">
        <x:v>FICTIVES</x:v>
      </x:c>
      <x:c r="C10" t="str">
        <x:v>Aucun lien avec une entreprise réelle</x:v>
      </x:c>
    </x:row>
    <x:row r="11">
      <x:c r="A11" t="str">
        <x:v>Unité</x:v>
      </x:c>
      <x:c r="B11" t="str">
        <x:v>MAD</x:v>
      </x:c>
      <x:c r="C11" t="str">
        <x:v>Dirhams marocains</x:v>
      </x:c>
    </x:row>
    <x:row r="14" ht="27" customHeight="1">
      <x:c r="A14" s="13" t="str">
        <x:v>Centres de coûts</x:v>
      </x:c>
      <x:c r="B14" s="13" t="str">
        <x:v>Postes de charges</x:v>
      </x:c>
    </x:row>
    <x:row r="15">
      <x:c r="A15" t="str">
        <x:v>Direction générale</x:v>
      </x:c>
      <x:c r="B15" t="str">
        <x:v>Personnel</x:v>
      </x:c>
    </x:row>
    <x:row r="16">
      <x:c r="A16" t="str">
        <x:v>Finance &amp; Comptabilité</x:v>
      </x:c>
      <x:c r="B16" t="str">
        <x:v>Prestations externes</x:v>
      </x:c>
    </x:row>
    <x:row r="17">
      <x:c r="A17" t="str">
        <x:v>Commercial &amp; Marketing</x:v>
      </x:c>
      <x:c r="B17" t="str">
        <x:v>Déplacements</x:v>
      </x:c>
    </x:row>
    <x:row r="18">
      <x:c r="A18" t="str">
        <x:v>Production</x:v>
      </x:c>
      <x:c r="B18" t="str">
        <x:v>Énergie &amp; Maintenance</x:v>
      </x:c>
    </x:row>
    <x:row r="19">
      <x:c r="A19" t="str">
        <x:v>Logistique</x:v>
      </x:c>
      <x:c r="B19" t="str">
        <x:v>Logiciels &amp; Autres</x:v>
      </x:c>
    </x:row>
    <x:row r="20">
      <x:c r="A20" t="str">
        <x:v>Systèmes d’information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5" hidden="0" customWidth="1"/>
    <x:col min="3" max="3" width="28" hidden="0" customWidth="1"/>
  </x:cols>
  <x:sheetData>
    <x:row r="1" ht="24" customHeight="1">
      <x:c r="A1" s="4" t="str">
        <x:v>AUDIT | CONTRÔLES DE COHÉRENCE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Vérification automatique des données et du rapprochement des synthèses</x:v>
      </x:c>
      <x:c r="B3" s="9"/>
      <x:c r="C3" s="9"/>
      <x:c r="D3" s="9"/>
      <x:c r="E3" s="9"/>
      <x:c r="F3" s="9"/>
      <x:c r="G3" s="9"/>
      <x:c r="H3" s="9"/>
    </x:row>
    <x:row r="6" ht="27" customHeight="1">
      <x:c r="A6" s="13" t="str">
        <x:v>Contrôle</x:v>
      </x:c>
      <x:c r="B6" s="13" t="str">
        <x:v>Résultat</x:v>
      </x:c>
      <x:c r="C6" s="13" t="str">
        <x:v>Statut</x:v>
      </x:c>
    </x:row>
    <x:row r="7">
      <x:c r="A7" t="str">
        <x:v>Nombre d’observations</x:v>
      </x:c>
      <x:c r="B7" t="n">
        <x:f>COUNTA(DONNEES_2026!A6:A365)</x:f>
        <x:v>360</x:v>
      </x:c>
      <x:c r="C7" t="str">
        <x:f>IF(B7=360,"OK","ERREUR")</x:f>
        <x:v>OK</x:v>
      </x:c>
    </x:row>
    <x:row r="8">
      <x:c r="A8" t="str">
        <x:v>Budget positif</x:v>
      </x:c>
      <x:c r="B8" t="n">
        <x:f>COUNTIF(DONNEES_2026!F6:F365,"&lt;=0")</x:f>
        <x:v>0</x:v>
      </x:c>
      <x:c r="C8" t="str">
        <x:f>IF(B8=0,"OK","ERREUR")</x:f>
        <x:v>OK</x:v>
      </x:c>
    </x:row>
    <x:row r="9">
      <x:c r="A9" t="str">
        <x:v>Réalisé négatif</x:v>
      </x:c>
      <x:c r="B9" t="n">
        <x:f>COUNTIF(DONNEES_2026!G6:G365,"&lt;0")</x:f>
        <x:v>0</x:v>
      </x:c>
      <x:c r="C9" t="str">
        <x:f>IF(B9=0,"OK","ERREUR")</x:f>
        <x:v>OK</x:v>
      </x:c>
    </x:row>
    <x:row r="10">
      <x:c r="A10" t="str">
        <x:v>Écart = réalisé − budget</x:v>
      </x:c>
      <x:c r="B10" t="n">
        <x:f>SUM(DONNEES_2026!H6:H365)-(SUM(DONNEES_2026!G6:G365)-SUM(DONNEES_2026!F6:F365))</x:f>
        <x:v>0</x:v>
      </x:c>
      <x:c r="C10" t="str">
        <x:f>IF(ABS(B10)&lt;0.01,"OK","ERREUR")</x:f>
        <x:v>OK</x:v>
      </x:c>
    </x:row>
    <x:row r="11">
      <x:c r="A11" t="str">
        <x:v>Rapprochement synthèse centres</x:v>
      </x:c>
      <x:c r="B11" t="n">
        <x:f>ANALYSE_CENTRES!C14-ANALYSE_CENTRES!B14-ANALYSE_CENTRES!D14</x:f>
        <x:v>0</x:v>
      </x:c>
      <x:c r="C11" t="str">
        <x:f>IF(ABS(B11)&lt;0.01,"OK","ERREUR")</x:f>
        <x:v>OK</x:v>
      </x:c>
    </x:row>
    <x:row r="12">
      <x:c r="A12" t="str">
        <x:v>Rapprochement dashboard / postes</x:v>
      </x:c>
      <x:c r="B12" t="n">
        <x:f>DASHBOARD!J15-ANALYSE_POSTES!D13</x:f>
        <x:v>0</x:v>
      </x:c>
      <x:c r="C12" t="str">
        <x:f>IF(ABS(B12)&lt;0.01,"OK","ERREUR")</x:f>
        <x:v>OK</x:v>
      </x:c>
    </x:row>
    <x:row r="13">
      <x:c r="A13" t="str">
        <x:v>Cohérence fenêtre temporelle</x:v>
      </x:c>
      <x:c r="B13" t="n">
        <x:f>IF(AND(DASHBOARD!G6&gt;=1,DASHBOARD!G6&lt;=12),1,0)</x:f>
        <x:v>0</x:v>
      </x:c>
      <x:c r="C13" t="str">
        <x:f>IF(B13=1,"OK","ERREUR")</x:f>
        <x:v>ERREUR</x:v>
      </x:c>
    </x:row>
    <x:row r="16">
      <x:c r="A16" t="str">
        <x:v>STATUT GLOBAL</x:v>
      </x:c>
      <x:c r="C16" t="str">
        <x:f>IF(COUNTIF(C7:C13,"ERREUR")=0,"CONTRÔLES VALIDÉS","À CORRIGER")</x:f>
        <x:v>À CORRIGER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6" hidden="0" customWidth="1"/>
  </x:cols>
  <x:sheetData>
    <x:row r="1" ht="24" customHeight="1">
      <x:c r="A1" s="4" t="str">
        <x:v>GUIDE | ÉTUDE 03 — PILOTAGE BUDGÉTAIRE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9" t="str">
        <x:v>Portfolio Khadija Machghoul  •  Étude de cas fictive à vocation pédagogique</x:v>
      </x:c>
      <x:c r="B3" s="9"/>
      <x:c r="C3" s="9"/>
      <x:c r="D3" s="9"/>
      <x:c r="E3" s="9"/>
      <x:c r="F3" s="9"/>
      <x:c r="G3" s="9"/>
      <x:c r="H3" s="9"/>
    </x:row>
    <x:row r="6">
      <x:c r="A6" t="str">
        <x:v>OBJECTIF</x:v>
      </x:c>
      <x:c r="B6" t="str">
        <x:v>Piloter les dépenses opérationnelles par centre de coûts et par nature de charge.</x:v>
      </x:c>
    </x:row>
    <x:row r="7">
      <x:c r="A7" t="str">
        <x:v>UTILISATION</x:v>
      </x:c>
      <x:c r="B7" t="str">
        <x:v>Dans DASHBOARD, choisir B6 (centre) puis G6 (mois de clôture).</x:v>
      </x:c>
    </x:row>
    <x:row r="8">
      <x:c r="A8" t="str">
        <x:v>INTERPRÉTATION</x:v>
      </x:c>
      <x:c r="B8" t="str">
        <x:v>Écart = Réalisé − Budget : positif = dépassement défavorable ; négatif = économie.</x:v>
      </x:c>
    </x:row>
    <x:row r="9">
      <x:c r="A9" t="str">
        <x:v>SEUIL D’ALERTE</x:v>
      </x:c>
      <x:c r="B9" t="str">
        <x:v>Tolérance modifiable en HYPOTHESES!B8 (5 % par défaut).</x:v>
      </x:c>
    </x:row>
    <x:row r="10">
      <x:c r="A10" t="str">
        <x:v>FEUILLE DONNÉES</x:v>
      </x:c>
      <x:c r="B10" t="str">
        <x:v>360 enregistrements fictifs en 2026 ; valeurs budgétaires et réalisées modifiables.</x:v>
      </x:c>
    </x:row>
    <x:row r="11">
      <x:c r="A11" t="str">
        <x:v>SYNTHÈSES</x:v>
      </x:c>
      <x:c r="B11" t="str">
        <x:v>ANALYSE_CENTRES reprend tous les centres ; ANALYSE_POSTES suit le filtre centre.</x:v>
      </x:c>
    </x:row>
    <x:row r="12">
      <x:c r="A12" t="str">
        <x:v>CONTROLES</x:v>
      </x:c>
      <x:c r="B12" t="str">
        <x:v>Contrôles automatiques de données, des écarts et de la réconciliation.</x:v>
      </x:c>
    </x:row>
    <x:row r="13">
      <x:c r="A13" t="str">
        <x:v>NOTE MÉTHODOLOGIQUE</x:v>
      </x:c>
      <x:c r="B13" t="str">
        <x:v>Les coûts sont simulés et ne constituent pas un reporting d’une société réelle.</x:v>
      </x:c>
    </x:row>
    <x:row r="14">
      <x:c r="A14" t="str">
        <x:v>LIMITE</x:v>
      </x:c>
      <x:c r="B14" t="str">
        <x:v>Il s’agit d’une démonstration Excel ; aucune validation comptable externe.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Mois</x:v>
      </x:c>
      <x:c r="B1" t="str">
        <x:v>Budget</x:v>
      </x:c>
      <x:c r="C1" t="str">
        <x:v>Réalisé</x:v>
      </x:c>
      <x:c r="D1" t="str">
        <x:v>Écart</x:v>
      </x:c>
      <x:c r="F1" t="str">
        <x:v>Centre</x:v>
      </x:c>
      <x:c r="G1" t="str">
        <x:v>Écart</x:v>
      </x:c>
      <x:c r="H1" t="str">
        <x:v>Court</x:v>
      </x:c>
    </x:row>
    <x:row r="2">
      <x:c r="A2" t="str">
        <x:v>Jan</x:v>
      </x:c>
      <x:c r="B2" t="n">
        <x:f>IF(1&gt;DASHBOARD!$F$10,NA(),IF(DASHBOARD!$B$10="Tous les centres",SUMIFS(DONNEES_2026!$F$6:$F$365,DONNEES_2026!$B$6:$B$365,1),SUMIFS(DONNEES_2026!$F$6:$F$365,DONNEES_2026!$B$6:$B$365,1,DONNEES_2026!$D$6:$D$365,DASHBOARD!$B$10)))</x:f>
        <x:v>941400</x:v>
      </x:c>
      <x:c r="C2" t="n">
        <x:f>IF(1&gt;DASHBOARD!$F$10,NA(),IF(DASHBOARD!$B$10="Tous les centres",SUMIFS(DONNEES_2026!$G$6:$G$365,DONNEES_2026!$B$6:$B$365,1),SUMIFS(DONNEES_2026!$G$6:$G$365,DONNEES_2026!$B$6:$B$365,1,DONNEES_2026!$D$6:$D$365,DASHBOARD!$B$10)))</x:f>
        <x:v>920000</x:v>
      </x:c>
      <x:c r="D2" t="n">
        <x:f>IFERROR(C2-B2,NA())</x:f>
        <x:v>-21400</x:v>
      </x:c>
      <x:c r="F2" t="str">
        <x:v>Direction générale</x:v>
      </x:c>
      <x:c r="G2" t="n">
        <x:f>IF(AND(DASHBOARD!$B$10&lt;&gt;"Tous les centres",DASHBOARD!$B$10&lt;&gt;F2),NA(),SUMIFS(DONNEES_2026!$G$6:$G$365,DONNEES_2026!$B$6:$B$365,"&lt;="&amp;DASHBOARD!$F$10,DONNEES_2026!$D$6:$D$365,F2)-SUMIFS(DONNEES_2026!$F$6:$F$365,DONNEES_2026!$B$6:$B$365,"&lt;="&amp;DASHBOARD!$F$10,DONNEES_2026!$D$6:$D$365,F2))</x:f>
        <x:v>-40600</x:v>
      </x:c>
      <x:c r="H2" t="str">
        <x:v>Direction</x:v>
      </x:c>
    </x:row>
    <x:row r="3">
      <x:c r="A3" t="str">
        <x:v>Fév</x:v>
      </x:c>
      <x:c r="B3" t="n">
        <x:f>IF(2&gt;DASHBOARD!$F$10,NA(),IF(DASHBOARD!$B$10="Tous les centres",SUMIFS(DONNEES_2026!$F$6:$F$365,DONNEES_2026!$B$6:$B$365,2),SUMIFS(DONNEES_2026!$F$6:$F$365,DONNEES_2026!$B$6:$B$365,2,DONNEES_2026!$D$6:$D$365,DASHBOARD!$B$10)))</x:f>
        <x:v>967000</x:v>
      </x:c>
      <x:c r="C3" t="n">
        <x:f>IF(2&gt;DASHBOARD!$F$10,NA(),IF(DASHBOARD!$B$10="Tous les centres",SUMIFS(DONNEES_2026!$G$6:$G$365,DONNEES_2026!$B$6:$B$365,2),SUMIFS(DONNEES_2026!$G$6:$G$365,DONNEES_2026!$B$6:$B$365,2,DONNEES_2026!$D$6:$D$365,DASHBOARD!$B$10)))</x:f>
        <x:v>947200</x:v>
      </x:c>
      <x:c r="D3" t="n">
        <x:f>IFERROR(C3-B3,NA())</x:f>
        <x:v>-19800</x:v>
      </x:c>
      <x:c r="F3" t="str">
        <x:v>Finance &amp; Comptabilité</x:v>
      </x:c>
      <x:c r="G3" t="n">
        <x:f>IF(AND(DASHBOARD!$B$10&lt;&gt;"Tous les centres",DASHBOARD!$B$10&lt;&gt;F3),NA(),SUMIFS(DONNEES_2026!$G$6:$G$365,DONNEES_2026!$B$6:$B$365,"&lt;="&amp;DASHBOARD!$F$10,DONNEES_2026!$D$6:$D$365,F3)-SUMIFS(DONNEES_2026!$F$6:$F$365,DONNEES_2026!$B$6:$B$365,"&lt;="&amp;DASHBOARD!$F$10,DONNEES_2026!$D$6:$D$365,F3))</x:f>
        <x:v>-28700</x:v>
      </x:c>
      <x:c r="H3" t="str">
        <x:v>Finance</x:v>
      </x:c>
    </x:row>
    <x:row r="4">
      <x:c r="A4" t="str">
        <x:v>Mar</x:v>
      </x:c>
      <x:c r="B4" t="n">
        <x:f>IF(3&gt;DASHBOARD!$F$10,NA(),IF(DASHBOARD!$B$10="Tous les centres",SUMIFS(DONNEES_2026!$F$6:$F$365,DONNEES_2026!$B$6:$B$365,3),SUMIFS(DONNEES_2026!$F$6:$F$365,DONNEES_2026!$B$6:$B$365,3,DONNEES_2026!$D$6:$D$365,DASHBOARD!$B$10)))</x:f>
        <x:v>986100</x:v>
      </x:c>
      <x:c r="C4" t="n">
        <x:f>IF(3&gt;DASHBOARD!$F$10,NA(),IF(DASHBOARD!$B$10="Tous les centres",SUMIFS(DONNEES_2026!$G$6:$G$365,DONNEES_2026!$B$6:$B$365,3),SUMIFS(DONNEES_2026!$G$6:$G$365,DONNEES_2026!$B$6:$B$365,3,DONNEES_2026!$D$6:$D$365,DASHBOARD!$B$10)))</x:f>
        <x:v>988400</x:v>
      </x:c>
      <x:c r="D4" t="n">
        <x:f>IFERROR(C4-B4,NA())</x:f>
        <x:v>2300</x:v>
      </x:c>
      <x:c r="F4" t="str">
        <x:v>Commercial &amp; Marketing</x:v>
      </x:c>
      <x:c r="G4" t="n">
        <x:f>IF(AND(DASHBOARD!$B$10&lt;&gt;"Tous les centres",DASHBOARD!$B$10&lt;&gt;F4),NA(),SUMIFS(DONNEES_2026!$G$6:$G$365,DONNEES_2026!$B$6:$B$365,"&lt;="&amp;DASHBOARD!$F$10,DONNEES_2026!$D$6:$D$365,F4)-SUMIFS(DONNEES_2026!$F$6:$F$365,DONNEES_2026!$B$6:$B$365,"&lt;="&amp;DASHBOARD!$F$10,DONNEES_2026!$D$6:$D$365,F4))</x:f>
        <x:v>24200</x:v>
      </x:c>
      <x:c r="H4" t="str">
        <x:v>Commercial</x:v>
      </x:c>
    </x:row>
    <x:row r="5">
      <x:c r="A5" t="str">
        <x:v>Avr</x:v>
      </x:c>
      <x:c r="B5" t="n">
        <x:f>IF(4&gt;DASHBOARD!$F$10,NA(),IF(DASHBOARD!$B$10="Tous les centres",SUMIFS(DONNEES_2026!$F$6:$F$365,DONNEES_2026!$B$6:$B$365,4),SUMIFS(DONNEES_2026!$F$6:$F$365,DONNEES_2026!$B$6:$B$365,4,DONNEES_2026!$D$6:$D$365,DASHBOARD!$B$10)))</x:f>
        <x:v>993000</x:v>
      </x:c>
      <x:c r="C5" t="n">
        <x:f>IF(4&gt;DASHBOARD!$F$10,NA(),IF(DASHBOARD!$B$10="Tous les centres",SUMIFS(DONNEES_2026!$G$6:$G$365,DONNEES_2026!$B$6:$B$365,4),SUMIFS(DONNEES_2026!$G$6:$G$365,DONNEES_2026!$B$6:$B$365,4,DONNEES_2026!$D$6:$D$365,DASHBOARD!$B$10)))</x:f>
        <x:v>990400</x:v>
      </x:c>
      <x:c r="D5" t="n">
        <x:f>IFERROR(C5-B5,NA())</x:f>
        <x:v>-2600</x:v>
      </x:c>
      <x:c r="F5" t="str">
        <x:v>Production</x:v>
      </x:c>
      <x:c r="G5" t="n">
        <x:f>IF(AND(DASHBOARD!$B$10&lt;&gt;"Tous les centres",DASHBOARD!$B$10&lt;&gt;F5),NA(),SUMIFS(DONNEES_2026!$G$6:$G$365,DONNEES_2026!$B$6:$B$365,"&lt;="&amp;DASHBOARD!$F$10,DONNEES_2026!$D$6:$D$365,F5)-SUMIFS(DONNEES_2026!$F$6:$F$365,DONNEES_2026!$B$6:$B$365,"&lt;="&amp;DASHBOARD!$F$10,DONNEES_2026!$D$6:$D$365,F5))</x:f>
        <x:v>123200</x:v>
      </x:c>
      <x:c r="H5" t="str">
        <x:v>Production</x:v>
      </x:c>
    </x:row>
    <x:row r="6">
      <x:c r="A6" t="str">
        <x:v>Mai</x:v>
      </x:c>
      <x:c r="B6" t="n">
        <x:f>IF(5&gt;DASHBOARD!$F$10,NA(),IF(DASHBOARD!$B$10="Tous les centres",SUMIFS(DONNEES_2026!$F$6:$F$365,DONNEES_2026!$B$6:$B$365,5),SUMIFS(DONNEES_2026!$F$6:$F$365,DONNEES_2026!$B$6:$B$365,5,DONNEES_2026!$D$6:$D$365,DASHBOARD!$B$10)))</x:f>
        <x:v>986100</x:v>
      </x:c>
      <x:c r="C6" t="n">
        <x:f>IF(5&gt;DASHBOARD!$F$10,NA(),IF(DASHBOARD!$B$10="Tous les centres",SUMIFS(DONNEES_2026!$G$6:$G$365,DONNEES_2026!$B$6:$B$365,5),SUMIFS(DONNEES_2026!$G$6:$G$365,DONNEES_2026!$B$6:$B$365,5,DONNEES_2026!$D$6:$D$365,DASHBOARD!$B$10)))</x:f>
        <x:v>991300</x:v>
      </x:c>
      <x:c r="D6" t="n">
        <x:f>IFERROR(C6-B6,NA())</x:f>
        <x:v>5200</x:v>
      </x:c>
      <x:c r="F6" t="str">
        <x:v>Logistique</x:v>
      </x:c>
      <x:c r="G6" t="n">
        <x:f>IF(AND(DASHBOARD!$B$10&lt;&gt;"Tous les centres",DASHBOARD!$B$10&lt;&gt;F6),NA(),SUMIFS(DONNEES_2026!$G$6:$G$365,DONNEES_2026!$B$6:$B$365,"&lt;="&amp;DASHBOARD!$F$10,DONNEES_2026!$D$6:$D$365,F6)-SUMIFS(DONNEES_2026!$F$6:$F$365,DONNEES_2026!$B$6:$B$365,"&lt;="&amp;DASHBOARD!$F$10,DONNEES_2026!$D$6:$D$365,F6))</x:f>
        <x:v>34300</x:v>
      </x:c>
      <x:c r="H6" t="str">
        <x:v>Logistique</x:v>
      </x:c>
    </x:row>
    <x:row r="7">
      <x:c r="A7" t="str">
        <x:v>Juin</x:v>
      </x:c>
      <x:c r="B7" t="n">
        <x:f>IF(6&gt;DASHBOARD!$F$10,NA(),IF(DASHBOARD!$B$10="Tous les centres",SUMIFS(DONNEES_2026!$F$6:$F$365,DONNEES_2026!$B$6:$B$365,6),SUMIFS(DONNEES_2026!$F$6:$F$365,DONNEES_2026!$B$6:$B$365,6,DONNEES_2026!$D$6:$D$365,DASHBOARD!$B$10)))</x:f>
        <x:v>967000</x:v>
      </x:c>
      <x:c r="C7" t="n">
        <x:f>IF(6&gt;DASHBOARD!$F$10,NA(),IF(DASHBOARD!$B$10="Tous les centres",SUMIFS(DONNEES_2026!$G$6:$G$365,DONNEES_2026!$B$6:$B$365,6),SUMIFS(DONNEES_2026!$G$6:$G$365,DONNEES_2026!$B$6:$B$365,6,DONNEES_2026!$D$6:$D$365,DASHBOARD!$B$10)))</x:f>
        <x:v>973900</x:v>
      </x:c>
      <x:c r="D7" t="n">
        <x:f>IFERROR(C7-B7,NA())</x:f>
        <x:v>6900</x:v>
      </x:c>
      <x:c r="F7" t="str">
        <x:v>Systèmes d’information</x:v>
      </x:c>
      <x:c r="G7" t="n">
        <x:f>IF(AND(DASHBOARD!$B$10&lt;&gt;"Tous les centres",DASHBOARD!$B$10&lt;&gt;F7),NA(),SUMIFS(DONNEES_2026!$G$6:$G$365,DONNEES_2026!$B$6:$B$365,"&lt;="&amp;DASHBOARD!$F$10,DONNEES_2026!$D$6:$D$365,F7)-SUMIFS(DONNEES_2026!$F$6:$F$365,DONNEES_2026!$B$6:$B$365,"&lt;="&amp;DASHBOARD!$F$10,DONNEES_2026!$D$6:$D$365,F7))</x:f>
        <x:v>90000</x:v>
      </x:c>
      <x:c r="H7" t="str">
        <x:v>SI</x:v>
      </x:c>
    </x:row>
    <x:row r="8">
      <x:c r="A8" t="str">
        <x:v>Juil</x:v>
      </x:c>
      <x:c r="B8" t="n">
        <x:f>IF(7&gt;DASHBOARD!$F$10,NA(),IF(DASHBOARD!$B$10="Tous les centres",SUMIFS(DONNEES_2026!$F$6:$F$365,DONNEES_2026!$B$6:$B$365,7),SUMIFS(DONNEES_2026!$F$6:$F$365,DONNEES_2026!$B$6:$B$365,7,DONNEES_2026!$D$6:$D$365,DASHBOARD!$B$10)))</x:f>
        <x:v>941400</x:v>
      </x:c>
      <x:c r="C8" t="n">
        <x:f>IF(7&gt;DASHBOARD!$F$10,NA(),IF(DASHBOARD!$B$10="Tous les centres",SUMIFS(DONNEES_2026!$G$6:$G$365,DONNEES_2026!$B$6:$B$365,7),SUMIFS(DONNEES_2026!$G$6:$G$365,DONNEES_2026!$B$6:$B$365,7,DONNEES_2026!$D$6:$D$365,DASHBOARD!$B$10)))</x:f>
        <x:v>973400</x:v>
      </x:c>
      <x:c r="D8" t="n">
        <x:f>IFERROR(C8-B8,NA())</x:f>
        <x:v>32000</x:v>
      </x:c>
    </x:row>
    <x:row r="9">
      <x:c r="A9" t="str">
        <x:v>Août</x:v>
      </x:c>
      <x:c r="B9" t="n">
        <x:f>IF(8&gt;DASHBOARD!$F$10,NA(),IF(DASHBOARD!$B$10="Tous les centres",SUMIFS(DONNEES_2026!$F$6:$F$365,DONNEES_2026!$B$6:$B$365,8),SUMIFS(DONNEES_2026!$F$6:$F$365,DONNEES_2026!$B$6:$B$365,8,DONNEES_2026!$D$6:$D$365,DASHBOARD!$B$10)))</x:f>
        <x:v>915300</x:v>
      </x:c>
      <x:c r="C9" t="n">
        <x:f>IF(8&gt;DASHBOARD!$F$10,NA(),IF(DASHBOARD!$B$10="Tous les centres",SUMIFS(DONNEES_2026!$G$6:$G$365,DONNEES_2026!$B$6:$B$365,8),SUMIFS(DONNEES_2026!$G$6:$G$365,DONNEES_2026!$B$6:$B$365,8,DONNEES_2026!$D$6:$D$365,DASHBOARD!$B$10)))</x:f>
        <x:v>946100</x:v>
      </x:c>
      <x:c r="D9" t="n">
        <x:f>IFERROR(C9-B9,NA())</x:f>
        <x:v>30800</x:v>
      </x:c>
    </x:row>
    <x:row r="10">
      <x:c r="A10" t="str">
        <x:v>Sep</x:v>
      </x:c>
      <x:c r="B10" t="n">
        <x:f>IF(9&gt;DASHBOARD!$F$10,NA(),IF(DASHBOARD!$B$10="Tous les centres",SUMIFS(DONNEES_2026!$F$6:$F$365,DONNEES_2026!$B$6:$B$365,9),SUMIFS(DONNEES_2026!$F$6:$F$365,DONNEES_2026!$B$6:$B$365,9,DONNEES_2026!$D$6:$D$365,DASHBOARD!$B$10)))</x:f>
        <x:v>896300</x:v>
      </x:c>
      <x:c r="C10" t="n">
        <x:f>IF(9&gt;DASHBOARD!$F$10,NA(),IF(DASHBOARD!$B$10="Tous les centres",SUMIFS(DONNEES_2026!$G$6:$G$365,DONNEES_2026!$B$6:$B$365,9),SUMIFS(DONNEES_2026!$G$6:$G$365,DONNEES_2026!$B$6:$B$365,9,DONNEES_2026!$D$6:$D$365,DASHBOARD!$B$10)))</x:f>
        <x:v>935800</x:v>
      </x:c>
      <x:c r="D10" t="n">
        <x:f>IFERROR(C10-B10,NA())</x:f>
        <x:v>39500</x:v>
      </x:c>
    </x:row>
    <x:row r="11">
      <x:c r="A11" t="str">
        <x:v>Oct</x:v>
      </x:c>
      <x:c r="B11" t="n">
        <x:f>IF(10&gt;DASHBOARD!$F$10,NA(),IF(DASHBOARD!$B$10="Tous les centres",SUMIFS(DONNEES_2026!$F$6:$F$365,DONNEES_2026!$B$6:$B$365,10),SUMIFS(DONNEES_2026!$F$6:$F$365,DONNEES_2026!$B$6:$B$365,10,DONNEES_2026!$D$6:$D$365,DASHBOARD!$B$10)))</x:f>
        <x:v>889400</x:v>
      </x:c>
      <x:c r="C11" t="n">
        <x:f>IF(10&gt;DASHBOARD!$F$10,NA(),IF(DASHBOARD!$B$10="Tous les centres",SUMIFS(DONNEES_2026!$G$6:$G$365,DONNEES_2026!$B$6:$B$365,10),SUMIFS(DONNEES_2026!$G$6:$G$365,DONNEES_2026!$B$6:$B$365,10,DONNEES_2026!$D$6:$D$365,DASHBOARD!$B$10)))</x:f>
        <x:v>925000</x:v>
      </x:c>
      <x:c r="D11" t="n">
        <x:f>IFERROR(C11-B11,NA())</x:f>
        <x:v>35600</x:v>
      </x:c>
    </x:row>
    <x:row r="12">
      <x:c r="A12" t="str">
        <x:v>Nov</x:v>
      </x:c>
      <x:c r="B12" t="n">
        <x:f>IF(11&gt;DASHBOARD!$F$10,NA(),IF(DASHBOARD!$B$10="Tous les centres",SUMIFS(DONNEES_2026!$F$6:$F$365,DONNEES_2026!$B$6:$B$365,11),SUMIFS(DONNEES_2026!$F$6:$F$365,DONNEES_2026!$B$6:$B$365,11,DONNEES_2026!$D$6:$D$365,DASHBOARD!$B$10)))</x:f>
        <x:v>896300</x:v>
      </x:c>
      <x:c r="C12" t="n">
        <x:f>IF(11&gt;DASHBOARD!$F$10,NA(),IF(DASHBOARD!$B$10="Tous les centres",SUMIFS(DONNEES_2026!$G$6:$G$365,DONNEES_2026!$B$6:$B$365,11),SUMIFS(DONNEES_2026!$G$6:$G$365,DONNEES_2026!$B$6:$B$365,11,DONNEES_2026!$D$6:$D$365,DASHBOARD!$B$10)))</x:f>
        <x:v>924800</x:v>
      </x:c>
      <x:c r="D12" t="n">
        <x:f>IFERROR(C12-B12,NA())</x:f>
        <x:v>28500</x:v>
      </x:c>
    </x:row>
    <x:row r="13">
      <x:c r="A13" t="str">
        <x:v>Déc</x:v>
      </x:c>
      <x:c r="B13" t="n">
        <x:f>IF(12&gt;DASHBOARD!$F$10,NA(),IF(DASHBOARD!$B$10="Tous les centres",SUMIFS(DONNEES_2026!$F$6:$F$365,DONNEES_2026!$B$6:$B$365,12),SUMIFS(DONNEES_2026!$F$6:$F$365,DONNEES_2026!$B$6:$B$365,12,DONNEES_2026!$D$6:$D$365,DASHBOARD!$B$10)))</x:f>
        <x:v>965200</x:v>
      </x:c>
      <x:c r="C13" t="n">
        <x:f>IF(12&gt;DASHBOARD!$F$10,NA(),IF(DASHBOARD!$B$10="Tous les centres",SUMIFS(DONNEES_2026!$G$6:$G$365,DONNEES_2026!$B$6:$B$365,12),SUMIFS(DONNEES_2026!$G$6:$G$365,DONNEES_2026!$B$6:$B$365,12,DONNEES_2026!$D$6:$D$365,DASHBOARD!$B$10)))</x:f>
        <x:v>1030600</x:v>
      </x:c>
      <x:c r="D13" t="n">
        <x:f>IFERROR(C13-B13,NA())</x:f>
        <x:v>65400</x:v>
      </x:c>
    </x:row>
  </x:sheetData>
  <x:pageMargins left="0.7" right="0.7" top="0.75" bottom="0.75" header="0.3" footer="0.3"/>
</x:worksheet>
</file>