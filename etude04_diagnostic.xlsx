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a93247d1d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a9f5d2d7344f3e"/>
    <x:sheet xmlns:r="http://schemas.openxmlformats.org/officeDocument/2006/relationships" name="BILAN" sheetId="2" r:id="R60d84a5da4c147ab"/>
    <x:sheet xmlns:r="http://schemas.openxmlformats.org/officeDocument/2006/relationships" name="CPC_SIG" sheetId="3" r:id="R3a7754948e054eac"/>
    <x:sheet xmlns:r="http://schemas.openxmlformats.org/officeDocument/2006/relationships" name="CAF" sheetId="4" r:id="R3c5ea81932d84233"/>
    <x:sheet xmlns:r="http://schemas.openxmlformats.org/officeDocument/2006/relationships" name="EQUILIBRE" sheetId="5" r:id="R57dcffc5ee084e9f"/>
    <x:sheet xmlns:r="http://schemas.openxmlformats.org/officeDocument/2006/relationships" name="RATIOS" sheetId="6" r:id="R4efe9c49afe147aa"/>
    <x:sheet xmlns:r="http://schemas.openxmlformats.org/officeDocument/2006/relationships" name="VISU" sheetId="7" r:id="Rff529e6a02b747f2"/>
    <x:sheet xmlns:r="http://schemas.openxmlformats.org/officeDocument/2006/relationships" name="CONTROLES" sheetId="8" r:id="R1f1524aff5374a5d"/>
    <x:sheet xmlns:r="http://schemas.openxmlformats.org/officeDocument/2006/relationships" name="GUIDE" sheetId="9" r:id="R8d3637636b79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–"/>
    <x:numFmt numFmtId="201" formatCode="0.0%;[Red](0.0%);–"/>
    <x:numFmt numFmtId="202" formatCode="0.00&quot;x&quot;;[Red](0.00&quot;x&quot;);–"/>
    <x:numFmt numFmtId="203" formatCode="+#,##0 &quot;K&quot;;[Red](#,##0) &quot;K&quot;;–"/>
    <x:numFmt numFmtId="204" formatCode="0.00&quot;x&quot;"/>
    <x:numFmt numFmtId="205" formatCode="0.0&quot; j&quot;"/>
  </x:numFmts>
  <x:fonts count="18">
    <x:font>
      <x:sz val="11"/>
      <x:name val="Carlito"/>
    </x:font>
    <x:font>
      <x:b/>
      <x:sz val="17"/>
      <x:color rgb="FFFFFFFF"/>
      <x:name val="Carlito"/>
    </x:font>
    <x:font>
      <x:i/>
      <x:sz val="11"/>
      <x:color rgb="FF62788A"/>
      <x:name val="Carlito"/>
    </x:font>
    <x:font>
      <x:b/>
      <x:sz val="11"/>
      <x:color rgb="FFFFFFFF"/>
      <x:name val="Carlito"/>
    </x:font>
    <x:font>
      <x:b/>
      <x:sz val="11"/>
      <x:color rgb="FF243B4D"/>
      <x:name val="Carlito"/>
    </x:font>
    <x:font>
      <x:b/>
      <x:sz val="18"/>
      <x:color rgb="FFFFFFFF"/>
      <x:name val="Carlito"/>
    </x:font>
    <x:font>
      <x:sz val="10"/>
      <x:color rgb="FF243B4D"/>
      <x:name val="Carlito"/>
    </x:font>
    <x:font>
      <x:b/>
      <x:sz val="13"/>
      <x:color rgb="FF113E47"/>
      <x:name val="Carlito"/>
    </x:font>
    <x:font>
      <x:b/>
      <x:sz val="10"/>
      <x:color rgb="FFFFFFFF"/>
      <x:name val="Carlito"/>
    </x:font>
    <x:font>
      <x:b/>
      <x:sz val="19"/>
      <x:color rgb="FF0B887D"/>
      <x:name val="Carlito"/>
    </x:font>
    <x:font>
      <x:b/>
      <x:sz val="18"/>
      <x:color rgb="FF0B887D"/>
      <x:name val="Carlito"/>
    </x:font>
    <x:font>
      <x:b/>
      <x:sz val="9"/>
      <x:color rgb="FFFFFFFF"/>
      <x:name val="Carlito"/>
    </x:font>
    <x:font>
      <x:b/>
      <x:sz val="16"/>
      <x:color rgb="FF243B4D"/>
      <x:name val="Carlito"/>
    </x:font>
    <x:font>
      <x:sz val="9"/>
      <x:color rgb="FFFFFF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73D"/>
      </x:patternFill>
    </x:fill>
    <x:fill>
      <x:patternFill patternType="solid">
        <x:fgColor rgb="FFEAF2F5"/>
      </x:patternFill>
    </x:fill>
    <x:fill>
      <x:patternFill patternType="solid">
        <x:fgColor rgb="FF176782"/>
      </x:patternFill>
    </x:fill>
    <x:fill>
      <x:patternFill patternType="solid">
        <x:fgColor rgb="FFD8F0E9"/>
      </x:patternFill>
    </x:fill>
    <x:fill>
      <x:patternFill patternType="solid">
        <x:fgColor rgb="FFE6F4EF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/>
    <x:xf numFmtId="0" fontId="4" fillId="3" borderId="1" xfId="0" applyNumberFormat="1" applyFont="1" applyFill="1" applyBorder="1"/>
    <x:xf numFmtId="20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203" fontId="9" fillId="3" borderId="0" xfId="0" applyNumberFormat="1" applyFont="1" applyFill="1" applyBorder="1" applyAlignment="1">
      <x:alignment horizontal="center" vertical="center"/>
    </x:xf>
    <x:xf numFmtId="203" fontId="9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204" fontId="10" fillId="3" borderId="0" xfId="0" applyNumberFormat="1" applyFont="1" applyFill="1" applyBorder="1" applyAlignment="1">
      <x:alignment horizontal="center" vertical="center"/>
    </x:xf>
    <x:xf numFmtId="204" fontId="10" fillId="3" borderId="1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 applyAlignment="1">
      <x:alignment horizontal="center" vertical="center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horizontal="center"/>
    </x:xf>
    <x:xf numFmtId="0" fontId="12" fillId="3" borderId="1" xfId="0" applyNumberFormat="1" applyFont="1" applyFill="1" applyBorder="1" applyAlignment="1">
      <x:alignment horizontal="center" vertical="center"/>
    </x:xf>
    <x:xf numFmtId="201" fontId="12" fillId="3" borderId="0" xfId="0" applyNumberFormat="1" applyFont="1" applyFill="1" applyBorder="1" applyAlignment="1">
      <x:alignment horizontal="center" vertical="center"/>
    </x:xf>
    <x:xf numFmtId="201" fontId="12" fillId="3" borderId="1" xfId="0" applyNumberFormat="1" applyFont="1" applyFill="1" applyBorder="1" applyAlignment="1">
      <x:alignment horizontal="center" vertical="center"/>
    </x:xf>
    <x:xf numFmtId="205" fontId="12" fillId="3" borderId="0" xfId="0" applyNumberFormat="1" applyFont="1" applyFill="1" applyBorder="1" applyAlignment="1">
      <x:alignment horizontal="center" vertical="center"/>
    </x:xf>
    <x:xf numFmtId="205" fontId="12" fillId="3" borderId="1" xfId="0" applyNumberFormat="1" applyFont="1" applyFill="1" applyBorder="1" applyAlignment="1">
      <x:alignment horizontal="center" vertical="center"/>
    </x:xf>
    <x:xf numFmtId="200" fontId="12" fillId="3" borderId="0" xfId="0" applyNumberFormat="1" applyFont="1" applyFill="1" applyBorder="1" applyAlignment="1">
      <x:alignment horizontal="center" vertical="center"/>
    </x:xf>
    <x:xf numFmtId="200" fontId="12" fillId="3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/>
    <x:xf numFmtId="200" fontId="15" fillId="3" borderId="0" xfId="0" applyNumberFormat="1" applyFont="1" applyFill="1" applyBorder="1" applyAlignment="1">
      <x:alignment vertical="center"/>
    </x:xf>
    <x:xf numFmtId="200" fontId="14" fillId="0" borderId="1" xfId="0" applyNumberFormat="1" applyFont="1" applyFill="1" applyBorder="1"/>
    <x:xf numFmtId="200" fontId="15" fillId="3" borderId="1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/>
    <x:xf numFmtId="201" fontId="14" fillId="0" borderId="1" xfId="0" applyNumberFormat="1" applyFont="1" applyFill="1" applyBorder="1"/>
    <x:xf numFmtId="202" fontId="14" fillId="0" borderId="0" xfId="0" applyNumberFormat="1" applyFont="1" applyFill="1" applyBorder="1"/>
    <x:xf numFmtId="202" fontId="14" fillId="0" borderId="1" xfId="0" applyNumberFormat="1" applyFont="1" applyFill="1" applyBorder="1"/>
    <x:xf numFmtId="200" fontId="16" fillId="3" borderId="0" xfId="0" applyNumberFormat="1" applyFont="1" applyFill="1" applyBorder="1" applyAlignment="1">
      <x:alignment vertical="center"/>
    </x:xf>
    <x:xf numFmtId="200" fontId="16" fillId="3" borderId="1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/>
    <x:xf numFmtId="200" fontId="1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9eda05d8d4d19" /><Relationship Type="http://schemas.openxmlformats.org/officeDocument/2006/relationships/theme" Target="/xl/theme/theme1.xml" Id="Rb31afab0a80a476f" /><Relationship Type="http://schemas.openxmlformats.org/officeDocument/2006/relationships/sharedStrings" Target="/xl/sharedStrings.xml" Id="Rc8d055e8283d42b2" /><Relationship Type="http://schemas.openxmlformats.org/officeDocument/2006/relationships/worksheet" Target="/xl/worksheets/sheet1.xml" Id="R12a9f5d2d7344f3e" /><Relationship Type="http://schemas.openxmlformats.org/officeDocument/2006/relationships/worksheet" Target="/xl/worksheets/sheet2.xml" Id="R60d84a5da4c147ab" /><Relationship Type="http://schemas.openxmlformats.org/officeDocument/2006/relationships/worksheet" Target="/xl/worksheets/sheet3.xml" Id="R3a7754948e054eac" /><Relationship Type="http://schemas.openxmlformats.org/officeDocument/2006/relationships/worksheet" Target="/xl/worksheets/sheet4.xml" Id="R3c5ea81932d84233" /><Relationship Type="http://schemas.openxmlformats.org/officeDocument/2006/relationships/worksheet" Target="/xl/worksheets/sheet5.xml" Id="R57dcffc5ee084e9f" /><Relationship Type="http://schemas.openxmlformats.org/officeDocument/2006/relationships/worksheet" Target="/xl/worksheets/sheet6.xml" Id="R4efe9c49afe147aa" /><Relationship Type="http://schemas.openxmlformats.org/officeDocument/2006/relationships/worksheet" Target="/xl/worksheets/sheet7.xml" Id="Rff529e6a02b747f2" /><Relationship Type="http://schemas.openxmlformats.org/officeDocument/2006/relationships/worksheet" Target="/xl/worksheets/sheet8.xml" Id="R1f1524aff5374a5d" /><Relationship Type="http://schemas.openxmlformats.org/officeDocument/2006/relationships/worksheet" Target="/xl/worksheets/sheet9.xml" Id="R8d3637636b7946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4a715ccecb4628" /><Relationship Type="http://schemas.openxmlformats.org/officeDocument/2006/relationships/chart" Target="/xl/drawings/charts/chart2.xml" Id="R495d02e5792041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 · BFR · TN | 2023–2025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FR</c:v>
          </c:tx>
          <c:marker>
            <c:symbol val="none"/>
          </c:marker>
          <c:cat>
            <c:strRef>
              <c:f>'VISU'!$A$2:$A$4</c:f>
              <c:strCache>
                <c:ptCount val="0"/>
              </c:strCache>
            </c:strRef>
          </c:cat>
          <c:val>
            <c:numRef>
              <c:f>'VISU'!$B$2:$B$4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BFR</c:v>
          </c:tx>
          <c:marker>
            <c:symbol val="none"/>
          </c:marker>
          <c:cat>
            <c:strRef>
              <c:f>'VISU'!$A$2:$A$4</c:f>
              <c:strCache>
                <c:ptCount val="0"/>
              </c:strCache>
            </c:strRef>
          </c:cat>
          <c:val>
            <c:numRef>
              <c:f>'VISU'!$C$2:$C$4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TN</c:v>
          </c:tx>
          <c:marker>
            <c:symbol val="none"/>
          </c:marker>
          <c:cat>
            <c:strRef>
              <c:f>'VISU'!$A$2:$A$4</c:f>
              <c:strCache>
                <c:ptCount val="0"/>
              </c:strCache>
            </c:strRef>
          </c:cat>
          <c:val>
            <c:numRef>
              <c:f>'VISU'!$D$2:$D$4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Équilibres | année choisie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 MAD</c:v>
          </c:tx>
          <c:cat>
            <c:strRef>
              <c:f>'VISU'!$G$2:$G$5</c:f>
              <c:strCache>
                <c:ptCount val="0"/>
              </c:strCache>
            </c:strRef>
          </c:cat>
          <c:val>
            <c:numRef>
              <c:f>'VISU'!$H$2:$H$5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4a715ccecb4628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d02e5792041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ee42fc114c4a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1" customHeight="1">
      <x:c r="A1" s="35" t="str">
        <x:v>ÉTUDE 04   /   DIAGNOSTIC FINANCIER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1" customHeight="1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 ht="21" customHeight="1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 ht="21" customHeight="1">
      <x:c r="A4" s="38" t="str">
        <x:v>ATLAS INDUSTRIE MAROC SA  •  Structure financière &amp; liquidité  •  Cas fictif  •  K MAD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 ht="21" customHeight="1"/>
    <x:row r="6" ht="21" customHeight="1">
      <x:c r="A6" s="14" t="str">
        <x:v>EXERCICE</x:v>
      </x:c>
      <x:c r="B6" s="14"/>
      <x:c r="C6" s="42" t="n">
        <x:v>2025</x:v>
      </x:c>
      <x:c r="D6" s="42"/>
      <x:c r="F6" s="46" t="str">
        <x:v>Changer l'année pour actualiser les indicateurs, les analyses et les graphiques.</x:v>
      </x:c>
      <x:c r="G6" s="46"/>
      <x:c r="H6" s="46"/>
      <x:c r="I6" s="46"/>
      <x:c r="J6" s="46"/>
      <x:c r="K6" s="46"/>
      <x:c r="L6" s="46"/>
      <x:c r="M6" s="46"/>
      <x:c r="N6" s="46"/>
    </x:row>
    <x:row r="7" ht="21" customHeight="1"/>
    <x:row r="8" ht="21" customHeight="1"/>
    <x:row r="9" ht="21" customHeight="1">
      <x:c r="A9" s="49" t="str">
        <x:v>FONDS DE ROULEMENT</x:v>
      </x:c>
      <x:c r="B9" s="49"/>
      <x:c r="C9" s="49"/>
      <x:c r="E9" s="49" t="str">
        <x:v>BFR</x:v>
      </x:c>
      <x:c r="F9" s="49"/>
      <x:c r="G9" s="49"/>
      <x:c r="I9" s="49" t="str">
        <x:v>TRÉSORERIE NETTE</x:v>
      </x:c>
      <x:c r="J9" s="49"/>
      <x:c r="K9" s="49"/>
      <x:c r="M9" s="61" t="str">
        <x:v>LIQUIDITÉ</x:v>
      </x:c>
      <x:c r="N9" s="61"/>
    </x:row>
    <x:row r="10" ht="21" customHeight="1">
      <x:c r="A10" s="49"/>
      <x:c r="B10" s="49"/>
      <x:c r="C10" s="49"/>
      <x:c r="E10" s="49"/>
      <x:c r="F10" s="49"/>
      <x:c r="G10" s="49"/>
      <x:c r="I10" s="49"/>
      <x:c r="J10" s="49"/>
      <x:c r="K10" s="49"/>
      <x:c r="M10" s="61"/>
      <x:c r="N10" s="61"/>
    </x:row>
    <x:row r="11" ht="21" customHeight="1">
      <x:c r="A11" s="58" t="n">
        <x:f>INDEX('EQUILIBRE'!$B$10:$D$10,1,MATCH($C$6,'EQUILIBRE'!$B$5:$D$5,0))</x:f>
        <x:v>850</x:v>
      </x:c>
      <x:c r="B11" s="54"/>
      <x:c r="C11" s="54"/>
      <x:c r="E11" s="58" t="n">
        <x:f>INDEX('EQUILIBRE'!$B$15:$D$15,1,MATCH($C$6,'EQUILIBRE'!$B$5:$D$5,0))</x:f>
        <x:v>620</x:v>
      </x:c>
      <x:c r="F11" s="54"/>
      <x:c r="G11" s="54"/>
      <x:c r="I11" s="58" t="n">
        <x:f>INDEX('EQUILIBRE'!$B$20:$D$20,1,MATCH($C$6,'EQUILIBRE'!$B$5:$D$5,0))</x:f>
        <x:v>230</x:v>
      </x:c>
      <x:c r="J11" s="54"/>
      <x:c r="K11" s="54"/>
      <x:c r="M11" s="70" t="n">
        <x:f>INDEX('RATIOS'!$B$11:$D$11,1,MATCH($C$6,'RATIOS'!$B$5:$D$5,0))</x:f>
        <x:v>1.5483870967741935</x:v>
      </x:c>
      <x:c r="N11" s="66"/>
    </x:row>
    <x:row r="12" ht="21" customHeight="1">
      <x:c r="A12" s="54"/>
      <x:c r="B12" s="54"/>
      <x:c r="C12" s="54"/>
      <x:c r="E12" s="54"/>
      <x:c r="F12" s="54"/>
      <x:c r="G12" s="54"/>
      <x:c r="I12" s="54"/>
      <x:c r="J12" s="54"/>
      <x:c r="K12" s="54"/>
      <x:c r="M12" s="66"/>
      <x:c r="N12" s="66"/>
    </x:row>
    <x:row r="13" ht="21" customHeight="1">
      <x:c r="A13" s="54"/>
      <x:c r="B13" s="54"/>
      <x:c r="C13" s="54"/>
      <x:c r="E13" s="54"/>
      <x:c r="F13" s="54"/>
      <x:c r="G13" s="54"/>
      <x:c r="I13" s="54"/>
      <x:c r="J13" s="54"/>
      <x:c r="K13" s="54"/>
      <x:c r="M13" s="66"/>
      <x:c r="N13" s="66"/>
    </x:row>
    <x:row r="14" ht="21" customHeight="1"/>
    <x:row r="15" ht="21" customHeight="1">
      <x:c r="A15" s="14" t="str">
        <x:v>ÉVOLUTION HISTORIQUE ET COMPOSITION DU DIAGNOSTIC</x:v>
      </x:c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</x:row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>
      <x:c r="A33" s="14" t="str">
        <x:v>LECTURE FINANCIÈRE ET INDICATEURS CLÉS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</x:row>
    <x:row r="34" ht="21" customHeight="1"/>
    <x:row r="35" ht="21" customHeight="1">
      <x:c r="A35" s="73" t="str">
        <x:v>MARGE EBITDA</x:v>
      </x:c>
      <x:c r="B35" s="73"/>
      <x:c r="C35" s="73"/>
      <x:c r="E35" s="73" t="str">
        <x:v>AUTONOMIE FINANCIÈRE</x:v>
      </x:c>
      <x:c r="F35" s="73"/>
      <x:c r="G35" s="73"/>
      <x:c r="I35" s="73" t="str">
        <x:v>BFR EN JOURS DE CA</x:v>
      </x:c>
      <x:c r="J35" s="73"/>
      <x:c r="K35" s="73"/>
      <x:c r="M35" s="73" t="str">
        <x:v>CAF</x:v>
      </x:c>
      <x:c r="N35" s="73"/>
    </x:row>
    <x:row r="36" ht="21" customHeight="1">
      <x:c r="A36" s="82" t="n">
        <x:f>INDEX('RATIOS'!$B$19:$D$19,1,MATCH($C$6,'RATIOS'!$B$5:$D$5,0))</x:f>
        <x:v>0.15859375</x:v>
      </x:c>
      <x:c r="B36" s="78"/>
      <x:c r="C36" s="78"/>
      <x:c r="E36" s="82" t="n">
        <x:f>INDEX('RATIOS'!$B$15:$D$15,1,MATCH($C$6,'RATIOS'!$B$5:$D$5,0))</x:f>
        <x:v>0.575</x:v>
      </x:c>
      <x:c r="F36" s="78"/>
      <x:c r="G36" s="78"/>
      <x:c r="I36" s="84" t="n">
        <x:f>INDEX('RATIOS'!$B$9:$D$9,1,MATCH($C$6,'RATIOS'!$B$5:$D$5,0))</x:f>
        <x:v>34.875</x:v>
      </x:c>
      <x:c r="J36" s="78"/>
      <x:c r="K36" s="78"/>
      <x:c r="M36" s="86" t="n">
        <x:f>INDEX('CAF'!$B$10:$D$10,1,MATCH($C$6,'CAF'!$B$5:$D$5,0))</x:f>
        <x:v>765</x:v>
      </x:c>
      <x:c r="N36" s="78"/>
    </x:row>
    <x:row r="37" ht="21" customHeight="1">
      <x:c r="A37" s="78"/>
      <x:c r="B37" s="78"/>
      <x:c r="C37" s="78"/>
      <x:c r="E37" s="78"/>
      <x:c r="F37" s="78"/>
      <x:c r="G37" s="78"/>
      <x:c r="I37" s="78"/>
      <x:c r="J37" s="78"/>
      <x:c r="K37" s="78"/>
      <x:c r="M37" s="78"/>
      <x:c r="N37" s="78"/>
    </x:row>
    <x:row r="38" ht="21" customHeight="1">
      <x:c r="A38" s="78"/>
      <x:c r="B38" s="78"/>
      <x:c r="C38" s="78"/>
      <x:c r="E38" s="78"/>
      <x:c r="F38" s="78"/>
      <x:c r="G38" s="78"/>
      <x:c r="I38" s="78"/>
      <x:c r="J38" s="78"/>
      <x:c r="K38" s="78"/>
      <x:c r="M38" s="78"/>
      <x:c r="N38" s="78"/>
    </x:row>
    <x:row r="39" ht="21" customHeight="1"/>
    <x:row r="40" ht="21" customHeight="1">
      <x:c r="A40" s="91" t="str">
        <x:f>IF(A11&gt;0,IF(I11&gt;0,"DIAGNOSTIC : structure financière globalement équilibrée. Le FR couvre le BFR et la trésorerie nette reste positive. Suivre le cycle clients/stocks et la qualité des encaissements.","VIGILANCE : FR positif, mais insuffisant pour financer le BFR. Examiner le financement court terme."),"ALERTE : fonds de roulement négatif. Réévaluer la couverture des immobilisations.")</x:f>
        <x:v>DIAGNOSTIC : structure financière globalement équilibrée. Le FR couvre le BFR et la trésorerie nette reste positive. Suivre le cycle clients/stocks et la qualité des encaissements.</x:v>
      </x:c>
      <x:c r="B40" s="91"/>
      <x:c r="C40" s="91"/>
      <x:c r="D40" s="91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</x:row>
    <x:row r="41" ht="21" customHeight="1">
      <x:c r="A41" s="91"/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</x:row>
    <x:row r="42" ht="21" customHeight="1">
      <x:c r="A42" s="91"/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</x:row>
    <x:row r="43" ht="21" customHeight="1"/>
    <x:row r="44">
      <x:c r="A44" s="96" t="str">
        <x:v>Source : données fictives construites pour un cas pédagogique • Montants en milliers de MAD • Méthode CAF additive simplifiée</x:v>
      </x:c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</x:row>
  </x:sheetData>
  <x:mergeCells>
    <x:mergeCell ref="A1:N3"/>
    <x:mergeCell ref="A4:N4"/>
    <x:mergeCell ref="A6:B6"/>
    <x:mergeCell ref="F6:N6"/>
    <x:mergeCell ref="A9:C10"/>
    <x:mergeCell ref="A11:C13"/>
    <x:mergeCell ref="E9:G10"/>
    <x:mergeCell ref="E11:G13"/>
    <x:mergeCell ref="I9:K10"/>
    <x:mergeCell ref="I11:K13"/>
    <x:mergeCell ref="M9:N10"/>
    <x:mergeCell ref="M11:N13"/>
    <x:mergeCell ref="A15:N15"/>
    <x:mergeCell ref="A33:N33"/>
    <x:mergeCell ref="A35:C35"/>
    <x:mergeCell ref="A36:C38"/>
    <x:mergeCell ref="E35:G35"/>
    <x:mergeCell ref="E36:G38"/>
    <x:mergeCell ref="I35:K35"/>
    <x:mergeCell ref="I36:K38"/>
    <x:mergeCell ref="M35:N35"/>
    <x:mergeCell ref="M36:N38"/>
    <x:mergeCell ref="A40:N42"/>
    <x:mergeCell ref="A44:N44"/>
  </x:mergeCells>
  <x:dataValidations count="1">
    <x:dataValidation type="list" sqref="C6">
      <x:formula1>"2023,2024,2025"</x:formula1>
    </x:dataValidation>
  </x:dataValidations>
  <x:pageMargins left="0.7" right="0.7" top="0.75" bottom="0.75" header="0.3" footer="0.3"/>
  <x:drawing xmlns:r="http://schemas.openxmlformats.org/officeDocument/2006/relationships" r:id="Rbfee42fc114c4a0f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BILAN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Atlas Industrie Maroc SA — Étude fictive · K MAD</x:v>
      </x:c>
      <x:c r="B3" s="9"/>
      <x:c r="C3" s="9"/>
      <x:c r="D3" s="9"/>
      <x:c r="E3" s="9"/>
      <x:c r="F3" s="9"/>
      <x:c r="G3" s="9"/>
      <x:c r="H3" s="9"/>
    </x:row>
    <x:row r="5">
      <x:c r="A5" s="14" t="str">
        <x:v>Indicateurs · K MAD</x:v>
      </x:c>
      <x:c r="B5" s="102" t="n">
        <x:v>2023</x:v>
      </x:c>
      <x:c r="C5" s="102" t="n">
        <x:v>2024</x:v>
      </x:c>
      <x:c r="D5" s="102" t="n">
        <x:v>2025</x:v>
      </x:c>
    </x:row>
    <x:row r="6">
      <x:c r="B6" s="104"/>
      <x:c r="C6" s="104"/>
      <x:c r="D6" s="104"/>
    </x:row>
    <x:row r="7">
      <x:c r="A7" s="23" t="str">
        <x:v>IMMOBILISATIONS NETTES</x:v>
      </x:c>
      <x:c r="B7" s="112" t="n">
        <x:v>3000</x:v>
      </x:c>
      <x:c r="C7" s="112" t="n">
        <x:v>3300</x:v>
      </x:c>
      <x:c r="D7" s="112" t="n">
        <x:v>3600</x:v>
      </x:c>
    </x:row>
    <x:row r="8">
      <x:c r="B8" s="104"/>
      <x:c r="C8" s="104"/>
      <x:c r="D8" s="104"/>
    </x:row>
    <x:row r="9">
      <x:c r="A9" t="str">
        <x:v>Stocks</x:v>
      </x:c>
      <x:c r="B9" s="114" t="n">
        <x:v>540</x:v>
      </x:c>
      <x:c r="C9" s="114" t="n">
        <x:v>620</x:v>
      </x:c>
      <x:c r="D9" s="114" t="n">
        <x:v>700</x:v>
      </x:c>
    </x:row>
    <x:row r="10">
      <x:c r="A10" t="str">
        <x:v>Créances clients et autres</x:v>
      </x:c>
      <x:c r="B10" s="114" t="n">
        <x:v>860</x:v>
      </x:c>
      <x:c r="C10" s="114" t="n">
        <x:v>970</x:v>
      </x:c>
      <x:c r="D10" s="114" t="n">
        <x:v>1100</x:v>
      </x:c>
    </x:row>
    <x:row r="11">
      <x:c r="A11" s="23" t="str">
        <x:v>Actif circulant d'exploitation</x:v>
      </x:c>
      <x:c r="B11" s="105" t="n">
        <x:f>SUM(B9:B10)</x:f>
        <x:v>1400</x:v>
      </x:c>
      <x:c r="C11" s="105" t="n">
        <x:f>SUM(C9:C10)</x:f>
        <x:v>1590</x:v>
      </x:c>
      <x:c r="D11" s="105" t="n">
        <x:f>SUM(D9:D10)</x:f>
        <x:v>1800</x:v>
      </x:c>
    </x:row>
    <x:row r="12">
      <x:c r="B12" s="104"/>
      <x:c r="C12" s="104"/>
      <x:c r="D12" s="104"/>
    </x:row>
    <x:row r="13">
      <x:c r="A13" t="str">
        <x:v>Trésorerie active</x:v>
      </x:c>
      <x:c r="B13" s="114" t="n">
        <x:v>350</x:v>
      </x:c>
      <x:c r="C13" s="114" t="n">
        <x:v>450</x:v>
      </x:c>
      <x:c r="D13" s="114" t="n">
        <x:v>600</x:v>
      </x:c>
    </x:row>
    <x:row r="14">
      <x:c r="B14" s="104"/>
      <x:c r="C14" s="104"/>
      <x:c r="D14" s="104"/>
    </x:row>
    <x:row r="15">
      <x:c r="A15" s="23" t="str">
        <x:v>TOTAL ACTIF</x:v>
      </x:c>
      <x:c r="B15" s="105" t="n">
        <x:f>SUM(B7,B11,B13)</x:f>
        <x:v>4750</x:v>
      </x:c>
      <x:c r="C15" s="105" t="n">
        <x:f>SUM(C7,C11,C13)</x:f>
        <x:v>5340</x:v>
      </x:c>
      <x:c r="D15" s="105" t="n">
        <x:f>SUM(D7,D11,D13)</x:f>
        <x:v>6000</x:v>
      </x:c>
    </x:row>
    <x:row r="16">
      <x:c r="B16" s="104"/>
      <x:c r="C16" s="104"/>
      <x:c r="D16" s="104"/>
    </x:row>
    <x:row r="17">
      <x:c r="B17" s="104"/>
      <x:c r="C17" s="104"/>
      <x:c r="D17" s="104"/>
    </x:row>
    <x:row r="18">
      <x:c r="A18" t="str">
        <x:v>Capitaux propres</x:v>
      </x:c>
      <x:c r="B18" s="114" t="n">
        <x:v>2600</x:v>
      </x:c>
      <x:c r="C18" s="114" t="n">
        <x:v>2900</x:v>
      </x:c>
      <x:c r="D18" s="114" t="n">
        <x:v>3450</x:v>
      </x:c>
    </x:row>
    <x:row r="19">
      <x:c r="A19" t="str">
        <x:v>Dettes financières à LT</x:v>
      </x:c>
      <x:c r="B19" s="114" t="n">
        <x:v>800</x:v>
      </x:c>
      <x:c r="C19" s="114" t="n">
        <x:v>900</x:v>
      </x:c>
      <x:c r="D19" s="114" t="n">
        <x:v>1000</x:v>
      </x:c>
    </x:row>
    <x:row r="20">
      <x:c r="A20" s="23" t="str">
        <x:v>Capitaux permanents</x:v>
      </x:c>
      <x:c r="B20" s="105" t="n">
        <x:f>SUM(B18:B19)</x:f>
        <x:v>3400</x:v>
      </x:c>
      <x:c r="C20" s="105" t="n">
        <x:f>SUM(C18:C19)</x:f>
        <x:v>3800</x:v>
      </x:c>
      <x:c r="D20" s="105" t="n">
        <x:f>SUM(D18:D19)</x:f>
        <x:v>4450</x:v>
      </x:c>
    </x:row>
    <x:row r="21">
      <x:c r="B21" s="104"/>
      <x:c r="C21" s="104"/>
      <x:c r="D21" s="104"/>
    </x:row>
    <x:row r="22">
      <x:c r="A22" t="str">
        <x:v>Dettes fournisseurs</x:v>
      </x:c>
      <x:c r="B22" s="114" t="n">
        <x:v>850</x:v>
      </x:c>
      <x:c r="C22" s="114" t="n">
        <x:v>920</x:v>
      </x:c>
      <x:c r="D22" s="114" t="n">
        <x:v>950</x:v>
      </x:c>
    </x:row>
    <x:row r="23">
      <x:c r="A23" t="str">
        <x:v>Dettes fiscales et sociales</x:v>
      </x:c>
      <x:c r="B23" s="114" t="n">
        <x:v>200</x:v>
      </x:c>
      <x:c r="C23" s="114" t="n">
        <x:v>230</x:v>
      </x:c>
      <x:c r="D23" s="114" t="n">
        <x:v>230</x:v>
      </x:c>
    </x:row>
    <x:row r="24">
      <x:c r="A24" s="23" t="str">
        <x:v>Passif circulant d'exploitation</x:v>
      </x:c>
      <x:c r="B24" s="105" t="n">
        <x:f>SUM(B22:B23)</x:f>
        <x:v>1050</x:v>
      </x:c>
      <x:c r="C24" s="105" t="n">
        <x:f>SUM(C22:C23)</x:f>
        <x:v>1150</x:v>
      </x:c>
      <x:c r="D24" s="105" t="n">
        <x:f>SUM(D22:D23)</x:f>
        <x:v>1180</x:v>
      </x:c>
    </x:row>
    <x:row r="25">
      <x:c r="B25" s="104"/>
      <x:c r="C25" s="104"/>
      <x:c r="D25" s="104"/>
    </x:row>
    <x:row r="26">
      <x:c r="A26" t="str">
        <x:v>Concours bancaires / dette CT</x:v>
      </x:c>
      <x:c r="B26" s="114" t="n">
        <x:v>300</x:v>
      </x:c>
      <x:c r="C26" s="114" t="n">
        <x:v>390</x:v>
      </x:c>
      <x:c r="D26" s="114" t="n">
        <x:v>370</x:v>
      </x:c>
    </x:row>
    <x:row r="27">
      <x:c r="B27" s="104"/>
      <x:c r="C27" s="104"/>
      <x:c r="D27" s="104"/>
    </x:row>
    <x:row r="28">
      <x:c r="A28" s="23" t="str">
        <x:v>TOTAL PASSIF</x:v>
      </x:c>
      <x:c r="B28" s="105" t="n">
        <x:f>SUM(B20,B24,B26)</x:f>
        <x:v>4750</x:v>
      </x:c>
      <x:c r="C28" s="105" t="n">
        <x:f>SUM(C20,C24,C26)</x:f>
        <x:v>5340</x:v>
      </x:c>
      <x:c r="D28" s="105" t="n">
        <x:f>SUM(D20,D24,D26)</x:f>
        <x:v>6000</x:v>
      </x:c>
    </x:row>
    <x:row r="29">
      <x:c r="B29" s="104"/>
      <x:c r="C29" s="104"/>
      <x:c r="D29" s="104"/>
    </x:row>
    <x:row r="30">
      <x:c r="A30" s="23" t="str">
        <x:v>ÉCART BILAN (doit être zéro)</x:v>
      </x:c>
      <x:c r="B30" s="24" t="n">
        <x:f>B15-B28</x:f>
        <x:v>0</x:v>
      </x:c>
      <x:c r="C30" s="24" t="n">
        <x:f>C15-C28</x:f>
        <x:v>0</x:v>
      </x:c>
      <x:c r="D30" s="24" t="n">
        <x:f>D15-D28</x:f>
        <x:v>0</x:v>
      </x:c>
    </x:row>
    <x:row r="31">
      <x:c r="B31" s="18"/>
      <x:c r="C31" s="18"/>
      <x:c r="D31" s="18"/>
    </x:row>
    <x:row r="32">
      <x:c r="B32" s="18"/>
      <x:c r="C32" s="18"/>
      <x:c r="D32" s="18"/>
    </x:row>
    <x:row r="33">
      <x:c r="B33" s="18"/>
      <x:c r="C33" s="18"/>
      <x:c r="D33" s="18"/>
    </x:row>
    <x:row r="34">
      <x:c r="B34" s="18"/>
      <x:c r="C34" s="18"/>
      <x:c r="D34" s="18"/>
    </x:row>
    <x:row r="35">
      <x:c r="B35" s="18"/>
      <x:c r="C35" s="18"/>
      <x:c r="D35" s="18"/>
    </x:row>
    <x:row r="36">
      <x:c r="B36" s="18"/>
      <x:c r="C36" s="18"/>
      <x:c r="D36" s="18"/>
    </x:row>
    <x:row r="37">
      <x:c r="B37" s="18"/>
      <x:c r="C37" s="18"/>
      <x:c r="D37" s="18"/>
    </x:row>
    <x:row r="38">
      <x:c r="B38" s="18"/>
      <x:c r="C38" s="18"/>
      <x:c r="D38" s="18"/>
    </x:row>
    <x:row r="39">
      <x:c r="B39" s="18"/>
      <x:c r="C39" s="18"/>
      <x:c r="D39" s="18"/>
    </x:row>
    <x:row r="40">
      <x:c r="B40" s="18"/>
      <x:c r="C40" s="18"/>
      <x:c r="D40" s="18"/>
    </x:row>
    <x:row r="41">
      <x:c r="B41" s="18"/>
      <x:c r="C41" s="18"/>
      <x:c r="D41" s="18"/>
    </x:row>
    <x:row r="42">
      <x:c r="B42" s="18"/>
      <x:c r="C42" s="18"/>
      <x:c r="D42" s="18"/>
    </x:row>
    <x:row r="43">
      <x:c r="B43" s="18"/>
      <x:c r="C43" s="18"/>
      <x:c r="D43" s="18"/>
    </x:row>
    <x:row r="44">
      <x:c r="B44" s="18"/>
      <x:c r="C44" s="18"/>
      <x:c r="D44" s="18"/>
    </x:row>
    <x:row r="45">
      <x:c r="B45" s="18"/>
      <x:c r="C45" s="18"/>
      <x:c r="D45" s="18"/>
    </x:row>
    <x:row r="46">
      <x:c r="B46" s="18"/>
      <x:c r="C46" s="18"/>
      <x:c r="D46" s="18"/>
    </x:row>
    <x:row r="47">
      <x:c r="B47" s="18"/>
      <x:c r="C47" s="18"/>
      <x:c r="D47" s="18"/>
    </x:row>
    <x:row r="48">
      <x:c r="B48" s="18"/>
      <x:c r="C48" s="18"/>
      <x:c r="D48" s="18"/>
    </x:row>
    <x:row r="49">
      <x:c r="B49" s="18"/>
      <x:c r="C49" s="18"/>
      <x:c r="D49" s="18"/>
    </x:row>
    <x:row r="50">
      <x:c r="B50" s="18"/>
      <x:c r="C50" s="18"/>
      <x:c r="D50" s="18"/>
    </x:row>
    <x:row r="51">
      <x:c r="B51" s="18"/>
      <x:c r="C51" s="18"/>
      <x:c r="D51" s="18"/>
    </x:row>
    <x:row r="52">
      <x:c r="B52" s="18"/>
      <x:c r="C52" s="18"/>
      <x:c r="D52" s="18"/>
    </x:row>
    <x:row r="53">
      <x:c r="B53" s="18"/>
      <x:c r="C53" s="18"/>
      <x:c r="D53" s="18"/>
    </x:row>
    <x:row r="54">
      <x:c r="B54" s="18"/>
      <x:c r="C54" s="18"/>
      <x:c r="D54" s="18"/>
    </x:row>
    <x:row r="55">
      <x:c r="B55" s="18"/>
      <x:c r="C55" s="18"/>
      <x:c r="D55" s="18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CPC · SIG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Atlas Industrie Maroc SA — Étude fictive · K MAD</x:v>
      </x:c>
      <x:c r="B3" s="9"/>
      <x:c r="C3" s="9"/>
      <x:c r="D3" s="9"/>
      <x:c r="E3" s="9"/>
      <x:c r="F3" s="9"/>
      <x:c r="G3" s="9"/>
      <x:c r="H3" s="9"/>
    </x:row>
    <x:row r="5">
      <x:c r="A5" s="14" t="str">
        <x:v>Indicateurs · K MAD</x:v>
      </x:c>
      <x:c r="B5" s="102" t="n">
        <x:v>2023</x:v>
      </x:c>
      <x:c r="C5" s="102" t="n">
        <x:v>2024</x:v>
      </x:c>
      <x:c r="D5" s="102" t="n">
        <x:v>2025</x:v>
      </x:c>
    </x:row>
    <x:row r="6">
      <x:c r="B6" s="104"/>
      <x:c r="C6" s="104"/>
      <x:c r="D6" s="104"/>
    </x:row>
    <x:row r="7">
      <x:c r="A7" t="str">
        <x:v>Chiffre d'affaires</x:v>
      </x:c>
      <x:c r="B7" s="114" t="n">
        <x:v>5000</x:v>
      </x:c>
      <x:c r="C7" s="114" t="n">
        <x:v>5600</x:v>
      </x:c>
      <x:c r="D7" s="114" t="n">
        <x:v>6400</x:v>
      </x:c>
    </x:row>
    <x:row r="8">
      <x:c r="A8" t="str">
        <x:v>Achats consommés</x:v>
      </x:c>
      <x:c r="B8" s="114" t="n">
        <x:v>2850</x:v>
      </x:c>
      <x:c r="C8" s="114" t="n">
        <x:v>3100</x:v>
      </x:c>
      <x:c r="D8" s="114" t="n">
        <x:v>3460</x:v>
      </x:c>
    </x:row>
    <x:row r="9">
      <x:c r="A9" t="str">
        <x:v>Charges externes</x:v>
      </x:c>
      <x:c r="B9" s="114" t="n">
        <x:v>610</x:v>
      </x:c>
      <x:c r="C9" s="114" t="n">
        <x:v>680</x:v>
      </x:c>
      <x:c r="D9" s="114" t="n">
        <x:v>760</x:v>
      </x:c>
    </x:row>
    <x:row r="10">
      <x:c r="B10" s="104"/>
      <x:c r="C10" s="104"/>
      <x:c r="D10" s="104"/>
    </x:row>
    <x:row r="11">
      <x:c r="A11" s="23" t="str">
        <x:v>Valeur ajoutée</x:v>
      </x:c>
      <x:c r="B11" s="105" t="n">
        <x:f>B7-SUM(B8:B9)</x:f>
        <x:v>1540</x:v>
      </x:c>
      <x:c r="C11" s="105" t="n">
        <x:f>C7-SUM(C8:C9)</x:f>
        <x:v>1820</x:v>
      </x:c>
      <x:c r="D11" s="105" t="n">
        <x:f>D7-SUM(D8:D9)</x:f>
        <x:v>2180</x:v>
      </x:c>
    </x:row>
    <x:row r="12">
      <x:c r="B12" s="104"/>
      <x:c r="C12" s="104"/>
      <x:c r="D12" s="104"/>
    </x:row>
    <x:row r="13">
      <x:c r="A13" t="str">
        <x:v>Charges de personnel</x:v>
      </x:c>
      <x:c r="B13" s="114" t="n">
        <x:v>860</x:v>
      </x:c>
      <x:c r="C13" s="114" t="n">
        <x:v>950</x:v>
      </x:c>
      <x:c r="D13" s="114" t="n">
        <x:v>1050</x:v>
      </x:c>
    </x:row>
    <x:row r="14">
      <x:c r="A14" t="str">
        <x:v>Impôts et taxes d'exploitation</x:v>
      </x:c>
      <x:c r="B14" s="114" t="n">
        <x:v>85</x:v>
      </x:c>
      <x:c r="C14" s="114" t="n">
        <x:v>100</x:v>
      </x:c>
      <x:c r="D14" s="114" t="n">
        <x:v>115</x:v>
      </x:c>
    </x:row>
    <x:row r="15">
      <x:c r="B15" s="104"/>
      <x:c r="C15" s="104"/>
      <x:c r="D15" s="104"/>
    </x:row>
    <x:row r="16">
      <x:c r="A16" s="23" t="str">
        <x:v>EBE / EBITDA</x:v>
      </x:c>
      <x:c r="B16" s="105" t="n">
        <x:f>B11-SUM(B13:B14)</x:f>
        <x:v>595</x:v>
      </x:c>
      <x:c r="C16" s="105" t="n">
        <x:f>C11-SUM(C13:C14)</x:f>
        <x:v>770</x:v>
      </x:c>
      <x:c r="D16" s="105" t="n">
        <x:f>D11-SUM(D13:D14)</x:f>
        <x:v>1015</x:v>
      </x:c>
    </x:row>
    <x:row r="17">
      <x:c r="B17" s="104"/>
      <x:c r="C17" s="104"/>
      <x:c r="D17" s="104"/>
    </x:row>
    <x:row r="18">
      <x:c r="A18" t="str">
        <x:v>Dotations aux amortissements</x:v>
      </x:c>
      <x:c r="B18" s="114" t="n">
        <x:v>210</x:v>
      </x:c>
      <x:c r="C18" s="114" t="n">
        <x:v>230</x:v>
      </x:c>
      <x:c r="D18" s="114" t="n">
        <x:v>250</x:v>
      </x:c>
    </x:row>
    <x:row r="19">
      <x:c r="B19" s="104"/>
      <x:c r="C19" s="104"/>
      <x:c r="D19" s="104"/>
    </x:row>
    <x:row r="20">
      <x:c r="A20" s="23" t="str">
        <x:v>Résultat d'exploitation / EBIT</x:v>
      </x:c>
      <x:c r="B20" s="105" t="n">
        <x:f>B16-B18</x:f>
        <x:v>385</x:v>
      </x:c>
      <x:c r="C20" s="105" t="n">
        <x:f>C16-C18</x:f>
        <x:v>540</x:v>
      </x:c>
      <x:c r="D20" s="105" t="n">
        <x:f>D16-D18</x:f>
        <x:v>765</x:v>
      </x:c>
    </x:row>
    <x:row r="21">
      <x:c r="B21" s="104"/>
      <x:c r="C21" s="104"/>
      <x:c r="D21" s="104"/>
    </x:row>
    <x:row r="22">
      <x:c r="A22" t="str">
        <x:v>Charges financières nettes</x:v>
      </x:c>
      <x:c r="B22" s="114" t="n">
        <x:v>90</x:v>
      </x:c>
      <x:c r="C22" s="114" t="n">
        <x:v>100</x:v>
      </x:c>
      <x:c r="D22" s="114" t="n">
        <x:v>110</x:v>
      </x:c>
    </x:row>
    <x:row r="23">
      <x:c r="B23" s="104"/>
      <x:c r="C23" s="104"/>
      <x:c r="D23" s="104"/>
    </x:row>
    <x:row r="24">
      <x:c r="A24" s="23" t="str">
        <x:v>Résultat courant avant impôt</x:v>
      </x:c>
      <x:c r="B24" s="105" t="n">
        <x:f>B20-B22</x:f>
        <x:v>295</x:v>
      </x:c>
      <x:c r="C24" s="105" t="n">
        <x:f>C20-C22</x:f>
        <x:v>440</x:v>
      </x:c>
      <x:c r="D24" s="105" t="n">
        <x:f>D20-D22</x:f>
        <x:v>655</x:v>
      </x:c>
    </x:row>
    <x:row r="25">
      <x:c r="B25" s="104"/>
      <x:c r="C25" s="104"/>
      <x:c r="D25" s="104"/>
    </x:row>
    <x:row r="26">
      <x:c r="A26" t="str">
        <x:v>Impôt sur les bénéfices</x:v>
      </x:c>
      <x:c r="B26" s="114" t="n">
        <x:v>75</x:v>
      </x:c>
      <x:c r="C26" s="114" t="n">
        <x:v>100</x:v>
      </x:c>
      <x:c r="D26" s="114" t="n">
        <x:v>140</x:v>
      </x:c>
    </x:row>
    <x:row r="27">
      <x:c r="B27" s="104"/>
      <x:c r="C27" s="104"/>
      <x:c r="D27" s="104"/>
    </x:row>
    <x:row r="28">
      <x:c r="A28" s="23" t="str">
        <x:v>Résultat net</x:v>
      </x:c>
      <x:c r="B28" s="105" t="n">
        <x:f>B24-B26</x:f>
        <x:v>220</x:v>
      </x:c>
      <x:c r="C28" s="105" t="n">
        <x:f>C24-C26</x:f>
        <x:v>340</x:v>
      </x:c>
      <x:c r="D28" s="105" t="n">
        <x:f>D24-D26</x:f>
        <x:v>515</x:v>
      </x:c>
    </x:row>
    <x:row r="29">
      <x:c r="B29" s="104"/>
      <x:c r="C29" s="104"/>
      <x:c r="D29" s="104"/>
    </x:row>
    <x:row r="30">
      <x:c r="A30" t="str">
        <x:v>Marge EBITDA</x:v>
      </x:c>
      <x:c r="B30" s="30" t="n">
        <x:f>IFERROR(B16/B7,0)</x:f>
        <x:v>0.119</x:v>
      </x:c>
      <x:c r="C30" s="30" t="n">
        <x:f>IFERROR(C16/C7,0)</x:f>
        <x:v>0.1375</x:v>
      </x:c>
      <x:c r="D30" s="30" t="n">
        <x:f>IFERROR(D16/D7,0)</x:f>
        <x:v>0.15859375</x:v>
      </x:c>
    </x:row>
    <x:row r="31">
      <x:c r="A31" t="str">
        <x:v>Marge nette</x:v>
      </x:c>
      <x:c r="B31" s="30" t="n">
        <x:f>IFERROR(B28/B7,0)</x:f>
        <x:v>0.044</x:v>
      </x:c>
      <x:c r="C31" s="30" t="n">
        <x:f>IFERROR(C28/C7,0)</x:f>
        <x:v>0.060714285714285714</x:v>
      </x:c>
      <x:c r="D31" s="30" t="n">
        <x:f>IFERROR(D28/D7,0)</x:f>
        <x:v>0.08046875</x:v>
      </x:c>
    </x:row>
    <x:row r="32">
      <x:c r="B32" s="18"/>
      <x:c r="C32" s="18"/>
      <x:c r="D32" s="18"/>
    </x:row>
    <x:row r="33">
      <x:c r="B33" s="18"/>
      <x:c r="C33" s="18"/>
      <x:c r="D33" s="18"/>
    </x:row>
    <x:row r="34">
      <x:c r="B34" s="18"/>
      <x:c r="C34" s="18"/>
      <x:c r="D34" s="18"/>
    </x:row>
    <x:row r="35">
      <x:c r="B35" s="18"/>
      <x:c r="C35" s="18"/>
      <x:c r="D35" s="18"/>
    </x:row>
    <x:row r="36">
      <x:c r="B36" s="18"/>
      <x:c r="C36" s="18"/>
      <x:c r="D36" s="18"/>
    </x:row>
    <x:row r="37">
      <x:c r="B37" s="18"/>
      <x:c r="C37" s="18"/>
      <x:c r="D37" s="18"/>
    </x:row>
    <x:row r="38">
      <x:c r="B38" s="18"/>
      <x:c r="C38" s="18"/>
      <x:c r="D38" s="18"/>
    </x:row>
    <x:row r="39">
      <x:c r="B39" s="18"/>
      <x:c r="C39" s="18"/>
      <x:c r="D39" s="18"/>
    </x:row>
    <x:row r="40">
      <x:c r="B40" s="18"/>
      <x:c r="C40" s="18"/>
      <x:c r="D40" s="18"/>
    </x:row>
    <x:row r="41">
      <x:c r="B41" s="18"/>
      <x:c r="C41" s="18"/>
      <x:c r="D41" s="18"/>
    </x:row>
    <x:row r="42">
      <x:c r="B42" s="18"/>
      <x:c r="C42" s="18"/>
      <x:c r="D42" s="18"/>
    </x:row>
    <x:row r="43">
      <x:c r="B43" s="18"/>
      <x:c r="C43" s="18"/>
      <x:c r="D43" s="18"/>
    </x:row>
    <x:row r="44">
      <x:c r="B44" s="18"/>
      <x:c r="C44" s="18"/>
      <x:c r="D44" s="18"/>
    </x:row>
    <x:row r="45">
      <x:c r="B45" s="18"/>
      <x:c r="C45" s="18"/>
      <x:c r="D45" s="18"/>
    </x:row>
    <x:row r="46">
      <x:c r="B46" s="18"/>
      <x:c r="C46" s="18"/>
      <x:c r="D46" s="18"/>
    </x:row>
    <x:row r="47">
      <x:c r="B47" s="18"/>
      <x:c r="C47" s="18"/>
      <x:c r="D47" s="18"/>
    </x:row>
    <x:row r="48">
      <x:c r="B48" s="18"/>
      <x:c r="C48" s="18"/>
      <x:c r="D48" s="18"/>
    </x:row>
    <x:row r="49">
      <x:c r="B49" s="18"/>
      <x:c r="C49" s="18"/>
      <x:c r="D49" s="18"/>
    </x:row>
    <x:row r="50">
      <x:c r="B50" s="18"/>
      <x:c r="C50" s="18"/>
      <x:c r="D50" s="18"/>
    </x:row>
    <x:row r="51">
      <x:c r="B51" s="18"/>
      <x:c r="C51" s="18"/>
      <x:c r="D51" s="18"/>
    </x:row>
    <x:row r="52">
      <x:c r="B52" s="18"/>
      <x:c r="C52" s="18"/>
      <x:c r="D52" s="18"/>
    </x:row>
    <x:row r="53">
      <x:c r="B53" s="18"/>
      <x:c r="C53" s="18"/>
      <x:c r="D53" s="18"/>
    </x:row>
    <x:row r="54">
      <x:c r="B54" s="18"/>
      <x:c r="C54" s="18"/>
      <x:c r="D54" s="18"/>
    </x:row>
    <x:row r="55">
      <x:c r="B55" s="18"/>
      <x:c r="C55" s="18"/>
      <x:c r="D55" s="18"/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CAF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Atlas Industrie Maroc SA — Étude fictive · K MAD</x:v>
      </x:c>
      <x:c r="B3" s="9"/>
      <x:c r="C3" s="9"/>
      <x:c r="D3" s="9"/>
      <x:c r="E3" s="9"/>
      <x:c r="F3" s="9"/>
      <x:c r="G3" s="9"/>
      <x:c r="H3" s="9"/>
    </x:row>
    <x:row r="5">
      <x:c r="A5" s="14" t="str">
        <x:v>Indicateurs · K MAD</x:v>
      </x:c>
      <x:c r="B5" s="102" t="n">
        <x:v>2023</x:v>
      </x:c>
      <x:c r="C5" s="102" t="n">
        <x:v>2024</x:v>
      </x:c>
      <x:c r="D5" s="102" t="n">
        <x:v>2025</x:v>
      </x:c>
    </x:row>
    <x:row r="6">
      <x:c r="B6" s="104"/>
      <x:c r="C6" s="104"/>
      <x:c r="D6" s="104"/>
    </x:row>
    <x:row r="7">
      <x:c r="A7" t="str">
        <x:v>Résultat net</x:v>
      </x:c>
      <x:c r="B7" s="104" t="n">
        <x:f>CPC_SIG!B28</x:f>
        <x:v>220</x:v>
      </x:c>
      <x:c r="C7" s="104" t="n">
        <x:f>CPC_SIG!C28</x:f>
        <x:v>340</x:v>
      </x:c>
      <x:c r="D7" s="104" t="n">
        <x:f>CPC_SIG!D28</x:f>
        <x:v>515</x:v>
      </x:c>
    </x:row>
    <x:row r="8">
      <x:c r="A8" t="str">
        <x:v>+ Dotations aux amortissements</x:v>
      </x:c>
      <x:c r="B8" s="104" t="n">
        <x:f>CPC_SIG!B18</x:f>
        <x:v>210</x:v>
      </x:c>
      <x:c r="C8" s="104" t="n">
        <x:f>CPC_SIG!C18</x:f>
        <x:v>230</x:v>
      </x:c>
      <x:c r="D8" s="104" t="n">
        <x:f>CPC_SIG!D18</x:f>
        <x:v>250</x:v>
      </x:c>
    </x:row>
    <x:row r="9">
      <x:c r="B9" s="104"/>
      <x:c r="C9" s="104"/>
      <x:c r="D9" s="104"/>
    </x:row>
    <x:row r="10">
      <x:c r="A10" s="23" t="str">
        <x:v>CAPACITÉ D'AUTOFINANCEMENT (CAF)</x:v>
      </x:c>
      <x:c r="B10" s="105" t="n">
        <x:f>SUM(B7:B8)</x:f>
        <x:v>430</x:v>
      </x:c>
      <x:c r="C10" s="105" t="n">
        <x:f>SUM(C7:C8)</x:f>
        <x:v>570</x:v>
      </x:c>
      <x:c r="D10" s="105" t="n">
        <x:f>SUM(D7:D8)</x:f>
        <x:v>765</x:v>
      </x:c>
    </x:row>
    <x:row r="11">
      <x:c r="B11" s="104"/>
      <x:c r="C11" s="104"/>
      <x:c r="D11" s="104"/>
    </x:row>
    <x:row r="12">
      <x:c r="A12" t="str">
        <x:v>CAF / Chiffre d'affaires</x:v>
      </x:c>
      <x:c r="B12" s="108" t="n">
        <x:f>IFERROR(B10/CPC_SIG!B7,0)</x:f>
        <x:v>0.086</x:v>
      </x:c>
      <x:c r="C12" s="108" t="n">
        <x:f>IFERROR(C10/CPC_SIG!C7,0)</x:f>
        <x:v>0.10178571428571428</x:v>
      </x:c>
      <x:c r="D12" s="108" t="n">
        <x:f>IFERROR(D10/CPC_SIG!D7,0)</x:f>
        <x:v>0.11953125</x:v>
      </x:c>
    </x:row>
    <x:row r="13">
      <x:c r="B13" s="104"/>
      <x:c r="C13" s="104"/>
      <x:c r="D13" s="104"/>
    </x:row>
    <x:row r="14">
      <x:c r="A14" t="str">
        <x:v>Note : méthode additive simplifiée; absence de reprises, cessions et éléments non monétaires complémentaires.</x:v>
      </x:c>
      <x:c r="B14" s="104"/>
      <x:c r="C14" s="104"/>
      <x:c r="D14" s="104"/>
    </x:row>
    <x:row r="15">
      <x:c r="B15" s="104"/>
      <x:c r="C15" s="104"/>
      <x:c r="D15" s="104"/>
    </x:row>
    <x:row r="16">
      <x:c r="B16" s="104"/>
      <x:c r="C16" s="104"/>
      <x:c r="D16" s="104"/>
    </x:row>
    <x:row r="17">
      <x:c r="B17" s="104"/>
      <x:c r="C17" s="104"/>
      <x:c r="D17" s="104"/>
    </x:row>
    <x:row r="18">
      <x:c r="B18" s="104"/>
      <x:c r="C18" s="104"/>
      <x:c r="D18" s="104"/>
    </x:row>
    <x:row r="19">
      <x:c r="B19" s="104"/>
      <x:c r="C19" s="104"/>
      <x:c r="D19" s="104"/>
    </x:row>
    <x:row r="20">
      <x:c r="B20" s="104"/>
      <x:c r="C20" s="104"/>
      <x:c r="D20" s="104"/>
    </x:row>
    <x:row r="21">
      <x:c r="B21" s="104"/>
      <x:c r="C21" s="104"/>
      <x:c r="D21" s="104"/>
    </x:row>
    <x:row r="22">
      <x:c r="B22" s="104"/>
      <x:c r="C22" s="104"/>
      <x:c r="D22" s="104"/>
    </x:row>
    <x:row r="23">
      <x:c r="B23" s="104"/>
      <x:c r="C23" s="104"/>
      <x:c r="D23" s="104"/>
    </x:row>
    <x:row r="24">
      <x:c r="B24" s="104"/>
      <x:c r="C24" s="104"/>
      <x:c r="D24" s="104"/>
    </x:row>
    <x:row r="25">
      <x:c r="B25" s="104"/>
      <x:c r="C25" s="104"/>
      <x:c r="D25" s="104"/>
    </x:row>
    <x:row r="26">
      <x:c r="B26" s="104"/>
      <x:c r="C26" s="104"/>
      <x:c r="D26" s="104"/>
    </x:row>
    <x:row r="27">
      <x:c r="B27" s="104"/>
      <x:c r="C27" s="104"/>
      <x:c r="D27" s="104"/>
    </x:row>
    <x:row r="28">
      <x:c r="B28" s="104"/>
      <x:c r="C28" s="104"/>
      <x:c r="D28" s="104"/>
    </x:row>
    <x:row r="29">
      <x:c r="B29" s="104"/>
      <x:c r="C29" s="104"/>
      <x:c r="D29" s="104"/>
    </x:row>
    <x:row r="30">
      <x:c r="B30" s="18"/>
      <x:c r="C30" s="18"/>
      <x:c r="D30" s="18"/>
    </x:row>
    <x:row r="31">
      <x:c r="B31" s="18"/>
      <x:c r="C31" s="18"/>
      <x:c r="D31" s="18"/>
    </x:row>
    <x:row r="32">
      <x:c r="B32" s="18"/>
      <x:c r="C32" s="18"/>
      <x:c r="D32" s="18"/>
    </x:row>
    <x:row r="33">
      <x:c r="B33" s="18"/>
      <x:c r="C33" s="18"/>
      <x:c r="D33" s="18"/>
    </x:row>
    <x:row r="34">
      <x:c r="B34" s="18"/>
      <x:c r="C34" s="18"/>
      <x:c r="D34" s="18"/>
    </x:row>
    <x:row r="35">
      <x:c r="B35" s="18"/>
      <x:c r="C35" s="18"/>
      <x:c r="D35" s="18"/>
    </x:row>
    <x:row r="36">
      <x:c r="B36" s="18"/>
      <x:c r="C36" s="18"/>
      <x:c r="D36" s="18"/>
    </x:row>
    <x:row r="37">
      <x:c r="B37" s="18"/>
      <x:c r="C37" s="18"/>
      <x:c r="D37" s="18"/>
    </x:row>
    <x:row r="38">
      <x:c r="B38" s="18"/>
      <x:c r="C38" s="18"/>
      <x:c r="D38" s="18"/>
    </x:row>
    <x:row r="39">
      <x:c r="B39" s="18"/>
      <x:c r="C39" s="18"/>
      <x:c r="D39" s="18"/>
    </x:row>
    <x:row r="40">
      <x:c r="B40" s="18"/>
      <x:c r="C40" s="18"/>
      <x:c r="D40" s="18"/>
    </x:row>
    <x:row r="41">
      <x:c r="B41" s="18"/>
      <x:c r="C41" s="18"/>
      <x:c r="D41" s="18"/>
    </x:row>
    <x:row r="42">
      <x:c r="B42" s="18"/>
      <x:c r="C42" s="18"/>
      <x:c r="D42" s="18"/>
    </x:row>
    <x:row r="43">
      <x:c r="B43" s="18"/>
      <x:c r="C43" s="18"/>
      <x:c r="D43" s="18"/>
    </x:row>
    <x:row r="44">
      <x:c r="B44" s="18"/>
      <x:c r="C44" s="18"/>
      <x:c r="D44" s="18"/>
    </x:row>
    <x:row r="45">
      <x:c r="B45" s="18"/>
      <x:c r="C45" s="18"/>
      <x:c r="D45" s="18"/>
    </x:row>
    <x:row r="46">
      <x:c r="B46" s="18"/>
      <x:c r="C46" s="18"/>
      <x:c r="D46" s="18"/>
    </x:row>
    <x:row r="47">
      <x:c r="B47" s="18"/>
      <x:c r="C47" s="18"/>
      <x:c r="D47" s="18"/>
    </x:row>
    <x:row r="48">
      <x:c r="B48" s="18"/>
      <x:c r="C48" s="18"/>
      <x:c r="D48" s="18"/>
    </x:row>
    <x:row r="49">
      <x:c r="B49" s="18"/>
      <x:c r="C49" s="18"/>
      <x:c r="D49" s="18"/>
    </x:row>
    <x:row r="50">
      <x:c r="B50" s="18"/>
      <x:c r="C50" s="18"/>
      <x:c r="D50" s="18"/>
    </x:row>
    <x:row r="51">
      <x:c r="B51" s="18"/>
      <x:c r="C51" s="18"/>
      <x:c r="D51" s="18"/>
    </x:row>
    <x:row r="52">
      <x:c r="B52" s="18"/>
      <x:c r="C52" s="18"/>
      <x:c r="D52" s="18"/>
    </x:row>
    <x:row r="53">
      <x:c r="B53" s="18"/>
      <x:c r="C53" s="18"/>
      <x:c r="D53" s="18"/>
    </x:row>
    <x:row r="54">
      <x:c r="B54" s="18"/>
      <x:c r="C54" s="18"/>
      <x:c r="D54" s="18"/>
    </x:row>
    <x:row r="55">
      <x:c r="B55" s="18"/>
      <x:c r="C55" s="18"/>
      <x:c r="D55" s="18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EQUILIBRE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Atlas Industrie Maroc SA — Étude fictive · K MAD</x:v>
      </x:c>
      <x:c r="B3" s="9"/>
      <x:c r="C3" s="9"/>
      <x:c r="D3" s="9"/>
      <x:c r="E3" s="9"/>
      <x:c r="F3" s="9"/>
      <x:c r="G3" s="9"/>
      <x:c r="H3" s="9"/>
    </x:row>
    <x:row r="5">
      <x:c r="A5" s="14" t="str">
        <x:v>Indicateurs · K MAD</x:v>
      </x:c>
      <x:c r="B5" s="102" t="n">
        <x:v>2023</x:v>
      </x:c>
      <x:c r="C5" s="102" t="n">
        <x:v>2024</x:v>
      </x:c>
      <x:c r="D5" s="102" t="n">
        <x:v>2025</x:v>
      </x:c>
    </x:row>
    <x:row r="6">
      <x:c r="B6" s="104"/>
      <x:c r="C6" s="104"/>
      <x:c r="D6" s="104"/>
    </x:row>
    <x:row r="7">
      <x:c r="A7" t="str">
        <x:v>Capitaux permanents</x:v>
      </x:c>
      <x:c r="B7" s="104" t="n">
        <x:f>BILAN!B20</x:f>
        <x:v>3400</x:v>
      </x:c>
      <x:c r="C7" s="104" t="n">
        <x:f>BILAN!C20</x:f>
        <x:v>3800</x:v>
      </x:c>
      <x:c r="D7" s="104" t="n">
        <x:f>BILAN!D20</x:f>
        <x:v>4450</x:v>
      </x:c>
    </x:row>
    <x:row r="8">
      <x:c r="A8" t="str">
        <x:v>Actif immobilisé net</x:v>
      </x:c>
      <x:c r="B8" s="104" t="n">
        <x:f>BILAN!B7</x:f>
        <x:v>3000</x:v>
      </x:c>
      <x:c r="C8" s="104" t="n">
        <x:f>BILAN!C7</x:f>
        <x:v>3300</x:v>
      </x:c>
      <x:c r="D8" s="104" t="n">
        <x:f>BILAN!D7</x:f>
        <x:v>3600</x:v>
      </x:c>
    </x:row>
    <x:row r="9">
      <x:c r="B9" s="104"/>
      <x:c r="C9" s="104"/>
      <x:c r="D9" s="104"/>
    </x:row>
    <x:row r="10">
      <x:c r="A10" s="23" t="str">
        <x:v>FONDS DE ROULEMENT (FR)</x:v>
      </x:c>
      <x:c r="B10" s="105" t="n">
        <x:f>B7-B8</x:f>
        <x:v>400</x:v>
      </x:c>
      <x:c r="C10" s="105" t="n">
        <x:f>C7-C8</x:f>
        <x:v>500</x:v>
      </x:c>
      <x:c r="D10" s="105" t="n">
        <x:f>D7-D8</x:f>
        <x:v>850</x:v>
      </x:c>
    </x:row>
    <x:row r="11">
      <x:c r="B11" s="104"/>
      <x:c r="C11" s="104"/>
      <x:c r="D11" s="104"/>
    </x:row>
    <x:row r="12">
      <x:c r="A12" t="str">
        <x:v>Actif circulant d'exploitation</x:v>
      </x:c>
      <x:c r="B12" s="104" t="n">
        <x:f>BILAN!B11</x:f>
        <x:v>1400</x:v>
      </x:c>
      <x:c r="C12" s="104" t="n">
        <x:f>BILAN!C11</x:f>
        <x:v>1590</x:v>
      </x:c>
      <x:c r="D12" s="104" t="n">
        <x:f>BILAN!D11</x:f>
        <x:v>1800</x:v>
      </x:c>
    </x:row>
    <x:row r="13">
      <x:c r="A13" t="str">
        <x:v>Passif circulant d'exploitation</x:v>
      </x:c>
      <x:c r="B13" s="104" t="n">
        <x:f>BILAN!B24</x:f>
        <x:v>1050</x:v>
      </x:c>
      <x:c r="C13" s="104" t="n">
        <x:f>BILAN!C24</x:f>
        <x:v>1150</x:v>
      </x:c>
      <x:c r="D13" s="104" t="n">
        <x:f>BILAN!D24</x:f>
        <x:v>1180</x:v>
      </x:c>
    </x:row>
    <x:row r="14">
      <x:c r="B14" s="104"/>
      <x:c r="C14" s="104"/>
      <x:c r="D14" s="104"/>
    </x:row>
    <x:row r="15">
      <x:c r="A15" s="23" t="str">
        <x:v>BESOIN EN FONDS DE ROULEMENT (BFR)</x:v>
      </x:c>
      <x:c r="B15" s="105" t="n">
        <x:f>B12-B13</x:f>
        <x:v>350</x:v>
      </x:c>
      <x:c r="C15" s="105" t="n">
        <x:f>C12-C13</x:f>
        <x:v>440</x:v>
      </x:c>
      <x:c r="D15" s="105" t="n">
        <x:f>D12-D13</x:f>
        <x:v>620</x:v>
      </x:c>
    </x:row>
    <x:row r="16">
      <x:c r="B16" s="104"/>
      <x:c r="C16" s="104"/>
      <x:c r="D16" s="104"/>
    </x:row>
    <x:row r="17">
      <x:c r="A17" t="str">
        <x:v>Trésorerie active</x:v>
      </x:c>
      <x:c r="B17" s="104" t="n">
        <x:f>BILAN!B13</x:f>
        <x:v>350</x:v>
      </x:c>
      <x:c r="C17" s="104" t="n">
        <x:f>BILAN!C13</x:f>
        <x:v>450</x:v>
      </x:c>
      <x:c r="D17" s="104" t="n">
        <x:f>BILAN!D13</x:f>
        <x:v>600</x:v>
      </x:c>
    </x:row>
    <x:row r="18">
      <x:c r="A18" t="str">
        <x:v>Dettes de trésorerie / concours bancaires</x:v>
      </x:c>
      <x:c r="B18" s="104" t="n">
        <x:f>BILAN!B26</x:f>
        <x:v>300</x:v>
      </x:c>
      <x:c r="C18" s="104" t="n">
        <x:f>BILAN!C26</x:f>
        <x:v>390</x:v>
      </x:c>
      <x:c r="D18" s="104" t="n">
        <x:f>BILAN!D26</x:f>
        <x:v>370</x:v>
      </x:c>
    </x:row>
    <x:row r="19">
      <x:c r="B19" s="104"/>
      <x:c r="C19" s="104"/>
      <x:c r="D19" s="104"/>
    </x:row>
    <x:row r="20">
      <x:c r="A20" s="23" t="str">
        <x:v>TRÉSORERIE NETTE (TN) — directe</x:v>
      </x:c>
      <x:c r="B20" s="105" t="n">
        <x:f>B17-B18</x:f>
        <x:v>50</x:v>
      </x:c>
      <x:c r="C20" s="105" t="n">
        <x:f>C17-C18</x:f>
        <x:v>60</x:v>
      </x:c>
      <x:c r="D20" s="105" t="n">
        <x:f>D17-D18</x:f>
        <x:v>230</x:v>
      </x:c>
    </x:row>
    <x:row r="21">
      <x:c r="A21" s="23" t="str">
        <x:v>TRÉSORERIE NETTE (TN) — FR moins BFR</x:v>
      </x:c>
      <x:c r="B21" s="105" t="n">
        <x:f>B10-B15</x:f>
        <x:v>50</x:v>
      </x:c>
      <x:c r="C21" s="105" t="n">
        <x:f>C10-C15</x:f>
        <x:v>60</x:v>
      </x:c>
      <x:c r="D21" s="105" t="n">
        <x:f>D10-D15</x:f>
        <x:v>230</x:v>
      </x:c>
    </x:row>
    <x:row r="22">
      <x:c r="B22" s="104"/>
      <x:c r="C22" s="104"/>
      <x:c r="D22" s="104"/>
    </x:row>
    <x:row r="23">
      <x:c r="A23" s="23" t="str">
        <x:v>CONTRÔLE RAPPROCHEMENT (doit être zéro)</x:v>
      </x:c>
      <x:c r="B23" s="105" t="n">
        <x:f>B20-B21</x:f>
        <x:v>0</x:v>
      </x:c>
      <x:c r="C23" s="105" t="n">
        <x:f>C20-C21</x:f>
        <x:v>0</x:v>
      </x:c>
      <x:c r="D23" s="105" t="n">
        <x:f>D20-D21</x:f>
        <x:v>0</x:v>
      </x:c>
    </x:row>
    <x:row r="24">
      <x:c r="B24" s="104"/>
      <x:c r="C24" s="104"/>
      <x:c r="D24" s="104"/>
    </x:row>
    <x:row r="25">
      <x:c r="B25" s="104"/>
      <x:c r="C25" s="104"/>
      <x:c r="D25" s="104"/>
    </x:row>
    <x:row r="26">
      <x:c r="B26" s="104"/>
      <x:c r="C26" s="104"/>
      <x:c r="D26" s="104"/>
    </x:row>
    <x:row r="27">
      <x:c r="B27" s="104"/>
      <x:c r="C27" s="104"/>
      <x:c r="D27" s="104"/>
    </x:row>
    <x:row r="28">
      <x:c r="B28" s="104"/>
      <x:c r="C28" s="104"/>
      <x:c r="D28" s="104"/>
    </x:row>
    <x:row r="29">
      <x:c r="B29" s="104"/>
      <x:c r="C29" s="104"/>
      <x:c r="D29" s="104"/>
    </x:row>
    <x:row r="30">
      <x:c r="B30" s="18"/>
      <x:c r="C30" s="18"/>
      <x:c r="D30" s="18"/>
    </x:row>
    <x:row r="31">
      <x:c r="B31" s="18"/>
      <x:c r="C31" s="18"/>
      <x:c r="D31" s="18"/>
    </x:row>
    <x:row r="32">
      <x:c r="B32" s="18"/>
      <x:c r="C32" s="18"/>
      <x:c r="D32" s="18"/>
    </x:row>
    <x:row r="33">
      <x:c r="B33" s="18"/>
      <x:c r="C33" s="18"/>
      <x:c r="D33" s="18"/>
    </x:row>
    <x:row r="34">
      <x:c r="B34" s="18"/>
      <x:c r="C34" s="18"/>
      <x:c r="D34" s="18"/>
    </x:row>
    <x:row r="35">
      <x:c r="B35" s="18"/>
      <x:c r="C35" s="18"/>
      <x:c r="D35" s="18"/>
    </x:row>
    <x:row r="36">
      <x:c r="B36" s="18"/>
      <x:c r="C36" s="18"/>
      <x:c r="D36" s="18"/>
    </x:row>
    <x:row r="37">
      <x:c r="B37" s="18"/>
      <x:c r="C37" s="18"/>
      <x:c r="D37" s="18"/>
    </x:row>
    <x:row r="38">
      <x:c r="B38" s="18"/>
      <x:c r="C38" s="18"/>
      <x:c r="D38" s="18"/>
    </x:row>
    <x:row r="39">
      <x:c r="B39" s="18"/>
      <x:c r="C39" s="18"/>
      <x:c r="D39" s="18"/>
    </x:row>
    <x:row r="40">
      <x:c r="B40" s="18"/>
      <x:c r="C40" s="18"/>
      <x:c r="D40" s="18"/>
    </x:row>
    <x:row r="41">
      <x:c r="B41" s="18"/>
      <x:c r="C41" s="18"/>
      <x:c r="D41" s="18"/>
    </x:row>
    <x:row r="42">
      <x:c r="B42" s="18"/>
      <x:c r="C42" s="18"/>
      <x:c r="D42" s="18"/>
    </x:row>
    <x:row r="43">
      <x:c r="B43" s="18"/>
      <x:c r="C43" s="18"/>
      <x:c r="D43" s="18"/>
    </x:row>
    <x:row r="44">
      <x:c r="B44" s="18"/>
      <x:c r="C44" s="18"/>
      <x:c r="D44" s="18"/>
    </x:row>
    <x:row r="45">
      <x:c r="B45" s="18"/>
      <x:c r="C45" s="18"/>
      <x:c r="D45" s="18"/>
    </x:row>
    <x:row r="46">
      <x:c r="B46" s="18"/>
      <x:c r="C46" s="18"/>
      <x:c r="D46" s="18"/>
    </x:row>
    <x:row r="47">
      <x:c r="B47" s="18"/>
      <x:c r="C47" s="18"/>
      <x:c r="D47" s="18"/>
    </x:row>
    <x:row r="48">
      <x:c r="B48" s="18"/>
      <x:c r="C48" s="18"/>
      <x:c r="D48" s="18"/>
    </x:row>
    <x:row r="49">
      <x:c r="B49" s="18"/>
      <x:c r="C49" s="18"/>
      <x:c r="D49" s="18"/>
    </x:row>
    <x:row r="50">
      <x:c r="B50" s="18"/>
      <x:c r="C50" s="18"/>
      <x:c r="D50" s="18"/>
    </x:row>
    <x:row r="51">
      <x:c r="B51" s="18"/>
      <x:c r="C51" s="18"/>
      <x:c r="D51" s="18"/>
    </x:row>
    <x:row r="52">
      <x:c r="B52" s="18"/>
      <x:c r="C52" s="18"/>
      <x:c r="D52" s="18"/>
    </x:row>
    <x:row r="53">
      <x:c r="B53" s="18"/>
      <x:c r="C53" s="18"/>
      <x:c r="D53" s="18"/>
    </x:row>
    <x:row r="54">
      <x:c r="B54" s="18"/>
      <x:c r="C54" s="18"/>
      <x:c r="D54" s="18"/>
    </x:row>
    <x:row r="55">
      <x:c r="B55" s="18"/>
      <x:c r="C55" s="18"/>
      <x:c r="D55" s="18"/>
    </x:row>
  </x:sheetData>
  <x:mergeCells>
    <x:mergeCell ref="A1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RATIOS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Atlas Industrie Maroc SA — Étude fictive · K MAD</x:v>
      </x:c>
      <x:c r="B3" s="9"/>
      <x:c r="C3" s="9"/>
      <x:c r="D3" s="9"/>
      <x:c r="E3" s="9"/>
      <x:c r="F3" s="9"/>
      <x:c r="G3" s="9"/>
      <x:c r="H3" s="9"/>
    </x:row>
    <x:row r="5">
      <x:c r="A5" s="14" t="str">
        <x:v>Indicateurs · K MAD</x:v>
      </x:c>
      <x:c r="B5" s="102" t="n">
        <x:v>2023</x:v>
      </x:c>
      <x:c r="C5" s="102" t="n">
        <x:v>2024</x:v>
      </x:c>
      <x:c r="D5" s="102" t="n">
        <x:v>2025</x:v>
      </x:c>
    </x:row>
    <x:row r="6">
      <x:c r="B6" s="104"/>
      <x:c r="C6" s="104"/>
      <x:c r="D6" s="104"/>
    </x:row>
    <x:row r="7">
      <x:c r="A7" t="str">
        <x:v>FR / CA</x:v>
      </x:c>
      <x:c r="B7" s="108" t="n">
        <x:f>IFERROR(EQUILIBRE!B10/CPC_SIG!B7,0)</x:f>
        <x:v>0.08</x:v>
      </x:c>
      <x:c r="C7" s="108" t="n">
        <x:f>IFERROR(EQUILIBRE!C10/CPC_SIG!C7,0)</x:f>
        <x:v>0.08928571428571429</x:v>
      </x:c>
      <x:c r="D7" s="108" t="n">
        <x:f>IFERROR(EQUILIBRE!D10/CPC_SIG!D7,0)</x:f>
        <x:v>0.1328125</x:v>
      </x:c>
    </x:row>
    <x:row r="8">
      <x:c r="A8" t="str">
        <x:v>BFR / CA</x:v>
      </x:c>
      <x:c r="B8" s="108" t="n">
        <x:f>IFERROR(EQUILIBRE!B15/CPC_SIG!B7,0)</x:f>
        <x:v>0.07</x:v>
      </x:c>
      <x:c r="C8" s="108" t="n">
        <x:f>IFERROR(EQUILIBRE!C15/CPC_SIG!C7,0)</x:f>
        <x:v>0.07857142857142857</x:v>
      </x:c>
      <x:c r="D8" s="108" t="n">
        <x:f>IFERROR(EQUILIBRE!D15/CPC_SIG!D7,0)</x:f>
        <x:v>0.096875</x:v>
      </x:c>
    </x:row>
    <x:row r="9">
      <x:c r="A9" t="str">
        <x:v>BFR en jours de chiffre d'affaires</x:v>
      </x:c>
      <x:c r="B9" s="104" t="n">
        <x:f>B8*360</x:f>
        <x:v>25.200000000000003</x:v>
      </x:c>
      <x:c r="C9" s="104" t="n">
        <x:f>C8*360</x:f>
        <x:v>28.285714285714285</x:v>
      </x:c>
      <x:c r="D9" s="104" t="n">
        <x:f>D8*360</x:f>
        <x:v>34.875</x:v>
      </x:c>
    </x:row>
    <x:row r="10">
      <x:c r="B10" s="104"/>
      <x:c r="C10" s="104"/>
      <x:c r="D10" s="104"/>
    </x:row>
    <x:row r="11">
      <x:c r="A11" t="str">
        <x:v>Liquidité générale</x:v>
      </x:c>
      <x:c r="B11" s="110" t="n">
        <x:f>IFERROR((BILAN!B11+BILAN!B13)/(BILAN!B24+BILAN!B26),0)</x:f>
        <x:v>1.2962962962962963</x:v>
      </x:c>
      <x:c r="C11" s="110" t="n">
        <x:f>IFERROR((BILAN!C11+BILAN!C13)/(BILAN!C24+BILAN!C26),0)</x:f>
        <x:v>1.3246753246753247</x:v>
      </x:c>
      <x:c r="D11" s="110" t="n">
        <x:f>IFERROR((BILAN!D11+BILAN!D13)/(BILAN!D24+BILAN!D26),0)</x:f>
        <x:v>1.5483870967741935</x:v>
      </x:c>
    </x:row>
    <x:row r="12">
      <x:c r="A12" t="str">
        <x:v>Liquidité réduite</x:v>
      </x:c>
      <x:c r="B12" s="110" t="n">
        <x:f>IFERROR((BILAN!B10+BILAN!B13)/(BILAN!B24+BILAN!B26),0)</x:f>
        <x:v>0.8962962962962963</x:v>
      </x:c>
      <x:c r="C12" s="110" t="n">
        <x:f>IFERROR((BILAN!C10+BILAN!C13)/(BILAN!C24+BILAN!C26),0)</x:f>
        <x:v>0.922077922077922</x:v>
      </x:c>
      <x:c r="D12" s="110" t="n">
        <x:f>IFERROR((BILAN!D10+BILAN!D13)/(BILAN!D24+BILAN!D26),0)</x:f>
        <x:v>1.096774193548387</x:v>
      </x:c>
    </x:row>
    <x:row r="13">
      <x:c r="A13" t="str">
        <x:v>Liquidité immédiate</x:v>
      </x:c>
      <x:c r="B13" s="110" t="n">
        <x:f>IFERROR(BILAN!B13/(BILAN!B24+BILAN!B26),0)</x:f>
        <x:v>0.25925925925925924</x:v>
      </x:c>
      <x:c r="C13" s="110" t="n">
        <x:f>IFERROR(BILAN!C13/(BILAN!C24+BILAN!C26),0)</x:f>
        <x:v>0.2922077922077922</x:v>
      </x:c>
      <x:c r="D13" s="110" t="n">
        <x:f>IFERROR(BILAN!D13/(BILAN!D24+BILAN!D26),0)</x:f>
        <x:v>0.3870967741935484</x:v>
      </x:c>
    </x:row>
    <x:row r="14">
      <x:c r="B14" s="104"/>
      <x:c r="C14" s="104"/>
      <x:c r="D14" s="104"/>
    </x:row>
    <x:row r="15">
      <x:c r="A15" t="str">
        <x:v>Autonomie financière</x:v>
      </x:c>
      <x:c r="B15" s="108" t="n">
        <x:f>IFERROR(BILAN!B18/BILAN!B28,0)</x:f>
        <x:v>0.5473684210526316</x:v>
      </x:c>
      <x:c r="C15" s="108" t="n">
        <x:f>IFERROR(BILAN!C18/BILAN!C28,0)</x:f>
        <x:v>0.5430711610486891</x:v>
      </x:c>
      <x:c r="D15" s="108" t="n">
        <x:f>IFERROR(BILAN!D18/BILAN!D28,0)</x:f>
        <x:v>0.575</x:v>
      </x:c>
    </x:row>
    <x:row r="16">
      <x:c r="A16" t="str">
        <x:v>Endettement financier / fonds propres</x:v>
      </x:c>
      <x:c r="B16" s="108" t="n">
        <x:f>IFERROR((BILAN!B19+BILAN!B26)/BILAN!B18,0)</x:f>
        <x:v>0.4230769230769231</x:v>
      </x:c>
      <x:c r="C16" s="108" t="n">
        <x:f>IFERROR((BILAN!C19+BILAN!C26)/BILAN!C18,0)</x:f>
        <x:v>0.44482758620689655</x:v>
      </x:c>
      <x:c r="D16" s="108" t="n">
        <x:f>IFERROR((BILAN!D19+BILAN!D26)/BILAN!D18,0)</x:f>
        <x:v>0.39710144927536234</x:v>
      </x:c>
    </x:row>
    <x:row r="17">
      <x:c r="A17" t="str">
        <x:v>Couverture immobilisations</x:v>
      </x:c>
      <x:c r="B17" s="110" t="n">
        <x:f>IFERROR(BILAN!B20/BILAN!B7,0)</x:f>
        <x:v>1.1333333333333333</x:v>
      </x:c>
      <x:c r="C17" s="110" t="n">
        <x:f>IFERROR(BILAN!C20/BILAN!C7,0)</x:f>
        <x:v>1.1515151515151516</x:v>
      </x:c>
      <x:c r="D17" s="110" t="n">
        <x:f>IFERROR(BILAN!D20/BILAN!D7,0)</x:f>
        <x:v>1.2361111111111112</x:v>
      </x:c>
    </x:row>
    <x:row r="18">
      <x:c r="B18" s="104"/>
      <x:c r="C18" s="104"/>
      <x:c r="D18" s="104"/>
    </x:row>
    <x:row r="19">
      <x:c r="A19" t="str">
        <x:v>Marge EBITDA</x:v>
      </x:c>
      <x:c r="B19" s="108" t="n">
        <x:f>CPC_SIG!B30</x:f>
        <x:v>0.119</x:v>
      </x:c>
      <x:c r="C19" s="108" t="n">
        <x:f>CPC_SIG!C30</x:f>
        <x:v>0.1375</x:v>
      </x:c>
      <x:c r="D19" s="108" t="n">
        <x:f>CPC_SIG!D30</x:f>
        <x:v>0.15859375</x:v>
      </x:c>
    </x:row>
    <x:row r="20">
      <x:c r="A20" t="str">
        <x:v>Marge nette</x:v>
      </x:c>
      <x:c r="B20" s="108" t="n">
        <x:f>CPC_SIG!B31</x:f>
        <x:v>0.044</x:v>
      </x:c>
      <x:c r="C20" s="108" t="n">
        <x:f>CPC_SIG!C31</x:f>
        <x:v>0.060714285714285714</x:v>
      </x:c>
      <x:c r="D20" s="108" t="n">
        <x:f>CPC_SIG!D31</x:f>
        <x:v>0.08046875</x:v>
      </x:c>
    </x:row>
    <x:row r="21">
      <x:c r="A21" t="str">
        <x:v>ROA (RN / actif fin d'année)</x:v>
      </x:c>
      <x:c r="B21" s="108" t="n">
        <x:f>IFERROR(CPC_SIG!B28/BILAN!B15,0)</x:f>
        <x:v>0.04631578947368421</x:v>
      </x:c>
      <x:c r="C21" s="108" t="n">
        <x:f>IFERROR(CPC_SIG!C28/BILAN!C15,0)</x:f>
        <x:v>0.06367041198501873</x:v>
      </x:c>
      <x:c r="D21" s="108" t="n">
        <x:f>IFERROR(CPC_SIG!D28/BILAN!D15,0)</x:f>
        <x:v>0.08583333333333333</x:v>
      </x:c>
    </x:row>
    <x:row r="22">
      <x:c r="A22" t="str">
        <x:v>ROE (RN / CP fin d'année)</x:v>
      </x:c>
      <x:c r="B22" s="108" t="n">
        <x:f>IFERROR(CPC_SIG!B28/BILAN!B18,0)</x:f>
        <x:v>0.08461538461538462</x:v>
      </x:c>
      <x:c r="C22" s="108" t="n">
        <x:f>IFERROR(CPC_SIG!C28/BILAN!C18,0)</x:f>
        <x:v>0.11724137931034483</x:v>
      </x:c>
      <x:c r="D22" s="108" t="n">
        <x:f>IFERROR(CPC_SIG!D28/BILAN!D18,0)</x:f>
        <x:v>0.1492753623188406</x:v>
      </x:c>
    </x:row>
    <x:row r="23">
      <x:c r="B23" s="104"/>
      <x:c r="C23" s="104"/>
      <x:c r="D23" s="104"/>
    </x:row>
    <x:row r="24">
      <x:c r="A24" t="str">
        <x:v>Dette financière / EBITDA</x:v>
      </x:c>
      <x:c r="B24" s="110" t="n">
        <x:f>IFERROR((BILAN!B19+BILAN!B26)/CPC_SIG!B16,0)</x:f>
        <x:v>1.8487394957983194</x:v>
      </x:c>
      <x:c r="C24" s="110" t="n">
        <x:f>IFERROR((BILAN!C19+BILAN!C26)/CPC_SIG!C16,0)</x:f>
        <x:v>1.6753246753246753</x:v>
      </x:c>
      <x:c r="D24" s="110" t="n">
        <x:f>IFERROR((BILAN!D19+BILAN!D26)/CPC_SIG!D16,0)</x:f>
        <x:v>1.3497536945812807</x:v>
      </x:c>
    </x:row>
    <x:row r="25">
      <x:c r="A25" t="str">
        <x:v>Couverture intérêts (EBIT / charges fin.)</x:v>
      </x:c>
      <x:c r="B25" s="110" t="n">
        <x:f>IFERROR(CPC_SIG!B20/CPC_SIG!B22,0)</x:f>
        <x:v>4.277777777777778</x:v>
      </x:c>
      <x:c r="C25" s="110" t="n">
        <x:f>IFERROR(CPC_SIG!C20/CPC_SIG!C22,0)</x:f>
        <x:v>5.4</x:v>
      </x:c>
      <x:c r="D25" s="110" t="n">
        <x:f>IFERROR(CPC_SIG!D20/CPC_SIG!D22,0)</x:f>
        <x:v>6.954545454545454</x:v>
      </x:c>
    </x:row>
    <x:row r="26">
      <x:c r="B26" s="104"/>
      <x:c r="C26" s="104"/>
      <x:c r="D26" s="104"/>
    </x:row>
    <x:row r="27">
      <x:c r="B27" s="104"/>
      <x:c r="C27" s="104"/>
      <x:c r="D27" s="104"/>
    </x:row>
    <x:row r="28">
      <x:c r="B28" s="104"/>
      <x:c r="C28" s="104"/>
      <x:c r="D28" s="104"/>
    </x:row>
    <x:row r="29">
      <x:c r="B29" s="104"/>
      <x:c r="C29" s="104"/>
      <x:c r="D29" s="104"/>
    </x:row>
    <x:row r="30">
      <x:c r="B30" s="18"/>
      <x:c r="C30" s="18"/>
      <x:c r="D30" s="18"/>
    </x:row>
    <x:row r="31">
      <x:c r="B31" s="18"/>
      <x:c r="C31" s="18"/>
      <x:c r="D31" s="18"/>
    </x:row>
    <x:row r="32">
      <x:c r="B32" s="18"/>
      <x:c r="C32" s="18"/>
      <x:c r="D32" s="18"/>
    </x:row>
    <x:row r="33">
      <x:c r="B33" s="18"/>
      <x:c r="C33" s="18"/>
      <x:c r="D33" s="18"/>
    </x:row>
    <x:row r="34">
      <x:c r="B34" s="18"/>
      <x:c r="C34" s="18"/>
      <x:c r="D34" s="18"/>
    </x:row>
    <x:row r="35">
      <x:c r="B35" s="18"/>
      <x:c r="C35" s="18"/>
      <x:c r="D35" s="18"/>
    </x:row>
    <x:row r="36">
      <x:c r="B36" s="18"/>
      <x:c r="C36" s="18"/>
      <x:c r="D36" s="18"/>
    </x:row>
    <x:row r="37">
      <x:c r="B37" s="18"/>
      <x:c r="C37" s="18"/>
      <x:c r="D37" s="18"/>
    </x:row>
    <x:row r="38">
      <x:c r="B38" s="18"/>
      <x:c r="C38" s="18"/>
      <x:c r="D38" s="18"/>
    </x:row>
    <x:row r="39">
      <x:c r="B39" s="18"/>
      <x:c r="C39" s="18"/>
      <x:c r="D39" s="18"/>
    </x:row>
    <x:row r="40">
      <x:c r="B40" s="18"/>
      <x:c r="C40" s="18"/>
      <x:c r="D40" s="18"/>
    </x:row>
    <x:row r="41">
      <x:c r="B41" s="18"/>
      <x:c r="C41" s="18"/>
      <x:c r="D41" s="18"/>
    </x:row>
    <x:row r="42">
      <x:c r="B42" s="18"/>
      <x:c r="C42" s="18"/>
      <x:c r="D42" s="18"/>
    </x:row>
    <x:row r="43">
      <x:c r="B43" s="18"/>
      <x:c r="C43" s="18"/>
      <x:c r="D43" s="18"/>
    </x:row>
    <x:row r="44">
      <x:c r="B44" s="18"/>
      <x:c r="C44" s="18"/>
      <x:c r="D44" s="18"/>
    </x:row>
    <x:row r="45">
      <x:c r="B45" s="18"/>
      <x:c r="C45" s="18"/>
      <x:c r="D45" s="18"/>
    </x:row>
    <x:row r="46">
      <x:c r="B46" s="18"/>
      <x:c r="C46" s="18"/>
      <x:c r="D46" s="18"/>
    </x:row>
    <x:row r="47">
      <x:c r="B47" s="18"/>
      <x:c r="C47" s="18"/>
      <x:c r="D47" s="18"/>
    </x:row>
    <x:row r="48">
      <x:c r="B48" s="18"/>
      <x:c r="C48" s="18"/>
      <x:c r="D48" s="18"/>
    </x:row>
    <x:row r="49">
      <x:c r="B49" s="18"/>
      <x:c r="C49" s="18"/>
      <x:c r="D49" s="18"/>
    </x:row>
    <x:row r="50">
      <x:c r="B50" s="18"/>
      <x:c r="C50" s="18"/>
      <x:c r="D50" s="18"/>
    </x:row>
    <x:row r="51">
      <x:c r="B51" s="18"/>
      <x:c r="C51" s="18"/>
      <x:c r="D51" s="18"/>
    </x:row>
    <x:row r="52">
      <x:c r="B52" s="18"/>
      <x:c r="C52" s="18"/>
      <x:c r="D52" s="18"/>
    </x:row>
    <x:row r="53">
      <x:c r="B53" s="18"/>
      <x:c r="C53" s="18"/>
      <x:c r="D53" s="18"/>
    </x:row>
    <x:row r="54">
      <x:c r="B54" s="18"/>
      <x:c r="C54" s="18"/>
      <x:c r="D54" s="18"/>
    </x:row>
    <x:row r="55">
      <x:c r="B55" s="18"/>
      <x:c r="C55" s="18"/>
      <x:c r="D55" s="18"/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61" t="str">
        <x:v>Année</x:v>
      </x:c>
      <x:c r="B1" s="61" t="str">
        <x:v>FR</x:v>
      </x:c>
      <x:c r="C1" s="61" t="str">
        <x:v>BFR</x:v>
      </x:c>
      <x:c r="D1" s="61" t="str">
        <x:v>TN</x:v>
      </x:c>
      <x:c r="E1" s="61" t="str">
        <x:v>CAF</x:v>
      </x:c>
      <x:c r="G1" s="61" t="str">
        <x:v>Indicateurs sélectionnés</x:v>
      </x:c>
      <x:c r="H1" s="61" t="str">
        <x:v>K MAD</x:v>
      </x:c>
    </x:row>
    <x:row r="2">
      <x:c r="A2" t="n">
        <x:f>EQUILIBRE!B5</x:f>
        <x:v>2023</x:v>
      </x:c>
      <x:c r="B2" t="n">
        <x:f>EQUILIBRE!B10</x:f>
        <x:v>400</x:v>
      </x:c>
      <x:c r="C2" t="n">
        <x:f>EQUILIBRE!B15</x:f>
        <x:v>350</x:v>
      </x:c>
      <x:c r="D2" t="n">
        <x:f>EQUILIBRE!B20</x:f>
        <x:v>50</x:v>
      </x:c>
      <x:c r="E2" t="n">
        <x:f>CAF!B10</x:f>
        <x:v>430</x:v>
      </x:c>
      <x:c r="G2" t="str">
        <x:v>FR</x:v>
      </x:c>
      <x:c r="H2" t="n">
        <x:f>INDEX('EQUILIBRE'!$B$10:$D$10,1,MATCH(DASHBOARD!$C$6,'EQUILIBRE'!$B$5:$D$5,0))</x:f>
        <x:v>850</x:v>
      </x:c>
    </x:row>
    <x:row r="3">
      <x:c r="A3" t="n">
        <x:f>EQUILIBRE!C5</x:f>
        <x:v>2024</x:v>
      </x:c>
      <x:c r="B3" t="n">
        <x:f>EQUILIBRE!C10</x:f>
        <x:v>500</x:v>
      </x:c>
      <x:c r="C3" t="n">
        <x:f>EQUILIBRE!C15</x:f>
        <x:v>440</x:v>
      </x:c>
      <x:c r="D3" t="n">
        <x:f>EQUILIBRE!C20</x:f>
        <x:v>60</x:v>
      </x:c>
      <x:c r="E3" t="n">
        <x:f>CAF!C10</x:f>
        <x:v>570</x:v>
      </x:c>
      <x:c r="G3" t="str">
        <x:v>BFR</x:v>
      </x:c>
      <x:c r="H3" t="n">
        <x:f>INDEX('EQUILIBRE'!$B$15:$D$15,1,MATCH(DASHBOARD!$C$6,'EQUILIBRE'!$B$5:$D$5,0))</x:f>
        <x:v>620</x:v>
      </x:c>
    </x:row>
    <x:row r="4">
      <x:c r="A4" t="n">
        <x:f>EQUILIBRE!D5</x:f>
        <x:v>2025</x:v>
      </x:c>
      <x:c r="B4" t="n">
        <x:f>EQUILIBRE!D10</x:f>
        <x:v>850</x:v>
      </x:c>
      <x:c r="C4" t="n">
        <x:f>EQUILIBRE!D15</x:f>
        <x:v>620</x:v>
      </x:c>
      <x:c r="D4" t="n">
        <x:f>EQUILIBRE!D20</x:f>
        <x:v>230</x:v>
      </x:c>
      <x:c r="E4" t="n">
        <x:f>CAF!D10</x:f>
        <x:v>765</x:v>
      </x:c>
      <x:c r="G4" t="str">
        <x:v>TN</x:v>
      </x:c>
      <x:c r="H4" t="n">
        <x:f>INDEX('EQUILIBRE'!$B$20:$D$20,1,MATCH(DASHBOARD!$C$6,'EQUILIBRE'!$B$5:$D$5,0))</x:f>
        <x:v>230</x:v>
      </x:c>
    </x:row>
    <x:row r="5">
      <x:c r="G5" t="str">
        <x:v>CAF</x:v>
      </x:c>
      <x:c r="H5" t="n">
        <x:f>INDEX('CAF'!$B$10:$D$10,1,MATCH(DASHBOARD!$C$6,'CAF'!$B$5:$D$5,0))</x:f>
        <x:v>765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4" t="str">
        <x:v>AUDIT DE COHÉRENCE</x:v>
      </x:c>
      <x:c r="B1" s="4"/>
      <x:c r="C1" s="4"/>
      <x:c r="D1" s="4"/>
    </x:row>
    <x:row r="2">
      <x:c r="A2" s="4"/>
      <x:c r="B2" s="4"/>
      <x:c r="C2" s="4"/>
      <x:c r="D2" s="4"/>
    </x:row>
    <x:row r="3">
      <x:c r="A3" s="9" t="str">
        <x:v>Contrôles indispensables · zéro = cohérence</x:v>
      </x:c>
      <x:c r="B3" s="9"/>
      <x:c r="C3" s="9"/>
      <x:c r="D3" s="9"/>
    </x:row>
    <x:row r="5">
      <x:c r="A5" s="14" t="str">
        <x:v>Test</x:v>
      </x:c>
      <x:c r="B5" s="14" t="n">
        <x:v>2023</x:v>
      </x:c>
      <x:c r="C5" s="14" t="n">
        <x:v>2024</x:v>
      </x:c>
      <x:c r="D5" s="14" t="n">
        <x:v>2025</x:v>
      </x:c>
    </x:row>
    <x:row r="7">
      <x:c r="A7" t="str">
        <x:v>Bilan actif = passif</x:v>
      </x:c>
      <x:c r="B7" t="n">
        <x:f>BILAN!B30</x:f>
        <x:v>0</x:v>
      </x:c>
      <x:c r="C7" t="n">
        <x:f>BILAN!C30</x:f>
        <x:v>0</x:v>
      </x:c>
      <x:c r="D7" t="n">
        <x:f>BILAN!D30</x:f>
        <x:v>0</x:v>
      </x:c>
    </x:row>
    <x:row r="8">
      <x:c r="A8" t="str">
        <x:v>TN directe = FR − BFR</x:v>
      </x:c>
      <x:c r="B8" t="n">
        <x:f>EQUILIBRE!B23</x:f>
        <x:v>0</x:v>
      </x:c>
      <x:c r="C8" t="n">
        <x:f>EQUILIBRE!C23</x:f>
        <x:v>0</x:v>
      </x:c>
      <x:c r="D8" t="n">
        <x:f>EQUILIBRE!D23</x:f>
        <x:v>0</x:v>
      </x:c>
    </x:row>
    <x:row r="10">
      <x:c r="A10" s="23" t="str">
        <x:v>Statut global</x:v>
      </x:c>
      <x:c r="B10" s="23" t="str">
        <x:f>IF(AND(B7=0,B8=0),"OK","ERREUR")</x:f>
        <x:v>OK</x:v>
      </x:c>
      <x:c r="C10" s="23" t="str">
        <x:f>IF(AND(C7=0,C8=0),"OK","ERREUR")</x:f>
        <x:v>OK</x:v>
      </x:c>
      <x:c r="D10" s="23" t="str">
        <x:f>IF(AND(D7=0,D8=0),"OK","ERREUR")</x:f>
        <x:v>OK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MÉTHODOLOGIE &amp; NOTICE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Khadija Machghoul | Étude 04 · Cas pédagogique fictif</x:v>
      </x:c>
      <x:c r="B3" s="9"/>
      <x:c r="C3" s="9"/>
      <x:c r="D3" s="9"/>
      <x:c r="E3" s="9"/>
      <x:c r="F3" s="9"/>
      <x:c r="G3" s="9"/>
      <x:c r="H3" s="9"/>
    </x:row>
    <x:row r="6">
      <x:c r="A6" s="8" t="str">
        <x:v>OBJECTIF</x:v>
      </x:c>
      <x:c r="B6" s="98" t="str">
        <x:v>Évaluer la rentabilité, la structure financière et la liquidité d’une entreprise industrielle fictive.</x:v>
      </x:c>
      <x:c r="C6" s="98"/>
      <x:c r="D6" s="98"/>
      <x:c r="E6" s="98"/>
      <x:c r="F6" s="98"/>
      <x:c r="G6" s="98"/>
      <x:c r="H6" s="98"/>
    </x:row>
    <x:row r="7">
      <x:c r="A7" t="str">
        <x:v>PÉRIMÈTRE</x:v>
      </x:c>
      <x:c r="B7" s="99" t="str">
        <x:v>Données fictives 2023–2025, montants en milliers de MAD. Aucune entreprise réelle n’est représentée.</x:v>
      </x:c>
      <x:c r="C7" s="99"/>
      <x:c r="D7" s="99"/>
      <x:c r="E7" s="99"/>
      <x:c r="F7" s="99"/>
      <x:c r="G7" s="99"/>
      <x:c r="H7" s="99"/>
    </x:row>
    <x:row r="8">
      <x:c r="A8" s="8" t="str">
        <x:v>NAVIGATION</x:v>
      </x:c>
      <x:c r="B8" s="98" t="str">
        <x:v>DASHBOARD : choisir l’année en C6. BILAN et CPC_SIG : données d’entrée en bleu.</x:v>
      </x:c>
      <x:c r="C8" s="98"/>
      <x:c r="D8" s="98"/>
      <x:c r="E8" s="98"/>
      <x:c r="F8" s="98"/>
      <x:c r="G8" s="98"/>
      <x:c r="H8" s="98"/>
    </x:row>
    <x:row r="9">
      <x:c r="A9" t="str">
        <x:v>FR</x:v>
      </x:c>
      <x:c r="B9" s="99" t="str">
        <x:v>Capitaux permanents − immobilisations nettes.</x:v>
      </x:c>
      <x:c r="C9" s="99"/>
      <x:c r="D9" s="99"/>
      <x:c r="E9" s="99"/>
      <x:c r="F9" s="99"/>
      <x:c r="G9" s="99"/>
      <x:c r="H9" s="99"/>
    </x:row>
    <x:row r="10">
      <x:c r="A10" s="8" t="str">
        <x:v>BFR</x:v>
      </x:c>
      <x:c r="B10" s="98" t="str">
        <x:v>Stocks + créances d’exploitation − dettes d’exploitation.</x:v>
      </x:c>
      <x:c r="C10" s="98"/>
      <x:c r="D10" s="98"/>
      <x:c r="E10" s="98"/>
      <x:c r="F10" s="98"/>
      <x:c r="G10" s="98"/>
      <x:c r="H10" s="98"/>
    </x:row>
    <x:row r="11">
      <x:c r="A11" t="str">
        <x:v>TN</x:v>
      </x:c>
      <x:c r="B11" s="99" t="str">
        <x:v>Trésorerie active − concours bancaires = FR − BFR.</x:v>
      </x:c>
      <x:c r="C11" s="99"/>
      <x:c r="D11" s="99"/>
      <x:c r="E11" s="99"/>
      <x:c r="F11" s="99"/>
      <x:c r="G11" s="99"/>
      <x:c r="H11" s="99"/>
    </x:row>
    <x:row r="12">
      <x:c r="A12" s="8" t="str">
        <x:v>SIG</x:v>
      </x:c>
      <x:c r="B12" s="98" t="str">
        <x:v>Valeur ajoutée, EBE, EBIT et résultat net calculés depuis le CPC simplifié.</x:v>
      </x:c>
      <x:c r="C12" s="98"/>
      <x:c r="D12" s="98"/>
      <x:c r="E12" s="98"/>
      <x:c r="F12" s="98"/>
      <x:c r="G12" s="98"/>
      <x:c r="H12" s="98"/>
    </x:row>
    <x:row r="13">
      <x:c r="A13" t="str">
        <x:v>CAF</x:v>
      </x:c>
      <x:c r="B13" s="99" t="str">
        <x:v>Méthode additive simplifiée : résultat net + dotations aux amortissements.</x:v>
      </x:c>
      <x:c r="C13" s="99"/>
      <x:c r="D13" s="99"/>
      <x:c r="E13" s="99"/>
      <x:c r="F13" s="99"/>
      <x:c r="G13" s="99"/>
      <x:c r="H13" s="99"/>
    </x:row>
    <x:row r="14">
      <x:c r="A14" s="8" t="str">
        <x:v>RATIOS</x:v>
      </x:c>
      <x:c r="B14" s="98" t="str">
        <x:v>Liquidité, autonomie, endettement, rentabilité, marge et couverture.</x:v>
      </x:c>
      <x:c r="C14" s="98"/>
      <x:c r="D14" s="98"/>
      <x:c r="E14" s="98"/>
      <x:c r="F14" s="98"/>
      <x:c r="G14" s="98"/>
      <x:c r="H14" s="98"/>
    </x:row>
    <x:row r="15">
      <x:c r="A15" t="str">
        <x:v>PRUDENCE</x:v>
      </x:c>
      <x:c r="B15" s="99" t="str">
        <x:v>Ratios de ROA/ROE sur valeurs de clôture; pas de retraitements IFRS, loyers, retraitements fiscaux ou audit légal.</x:v>
      </x:c>
      <x:c r="C15" s="99"/>
      <x:c r="D15" s="99"/>
      <x:c r="E15" s="99"/>
      <x:c r="F15" s="99"/>
      <x:c r="G15" s="99"/>
      <x:c r="H15" s="99"/>
    </x:row>
    <x:row r="16">
      <x:c r="A16" s="8" t="str">
        <x:v>SOURCES</x:v>
      </x:c>
      <x:c r="B16" s="98" t="str">
        <x:v>Données inventées par construction pédagogique; aucun chiffre externe utilisé.</x:v>
      </x:c>
      <x:c r="C16" s="98"/>
      <x:c r="D16" s="98"/>
      <x:c r="E16" s="98"/>
      <x:c r="F16" s="98"/>
      <x:c r="G16" s="98"/>
      <x:c r="H16" s="98"/>
    </x:row>
    <x:row r="17">
      <x:c r="A17" t="str">
        <x:v>VÉRIFICATION</x:v>
      </x:c>
      <x:c r="B17" s="99" t="str">
        <x:v>Onglet CONTROLES : écarts bilan et rapprochement de trésorerie égaux à zéro.</x:v>
      </x:c>
      <x:c r="C17" s="99"/>
      <x:c r="D17" s="99"/>
      <x:c r="E17" s="99"/>
      <x:c r="F17" s="99"/>
      <x:c r="G17" s="99"/>
      <x:c r="H17" s="99"/>
    </x:row>
  </x:sheetData>
  <x:mergeCells>
    <x:mergeCell ref="A1:H2"/>
    <x:mergeCell ref="A3:H3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</x:mergeCells>
  <x:pageMargins left="0.7" right="0.7" top="0.75" bottom="0.75" header="0.3" footer="0.3"/>
</x:worksheet>
</file>