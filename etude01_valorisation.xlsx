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d6d1cd8f4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a0cc965877ca4b76"/>
    <x:sheet xmlns:r="http://schemas.openxmlformats.org/officeDocument/2006/relationships" name="Hypotheses" sheetId="2" r:id="R06ca19f66dd34b4b"/>
    <x:sheet xmlns:r="http://schemas.openxmlformats.org/officeDocument/2006/relationships" name="Historique" sheetId="3" r:id="R751bd70c37b5416c"/>
    <x:sheet xmlns:r="http://schemas.openxmlformats.org/officeDocument/2006/relationships" name="Previsions" sheetId="4" r:id="R88931e967e2d4e7f"/>
    <x:sheet xmlns:r="http://schemas.openxmlformats.org/officeDocument/2006/relationships" name="DCF" sheetId="5" r:id="Re9d244a62241487c"/>
    <x:sheet xmlns:r="http://schemas.openxmlformats.org/officeDocument/2006/relationships" name="Sensibilite" sheetId="6" r:id="R91d139c78c154d11"/>
    <x:sheet xmlns:r="http://schemas.openxmlformats.org/officeDocument/2006/relationships" name="Notice" sheetId="7" r:id="Rc4af7d810d484b58"/>
    <x:sheet xmlns:r="http://schemas.openxmlformats.org/officeDocument/2006/relationships" name="Scenarios" sheetId="8" r:id="R12ce6684d75a4178"/>
    <x:sheet xmlns:r="http://schemas.openxmlformats.org/officeDocument/2006/relationships" name="Pessimiste" sheetId="9" r:id="R8764e7cc19864d2d"/>
    <x:sheet xmlns:r="http://schemas.openxmlformats.org/officeDocument/2006/relationships" name="Central" sheetId="10" r:id="Re56ddd963b104ba6"/>
    <x:sheet xmlns:r="http://schemas.openxmlformats.org/officeDocument/2006/relationships" name="Optimiste" sheetId="11" r:id="R45e9b6dbfb804556"/>
    <x:sheet xmlns:r="http://schemas.openxmlformats.org/officeDocument/2006/relationships" name="Comparaison" sheetId="12" r:id="R9d15ad9f6fc346aa"/>
    <x:sheet xmlns:r="http://schemas.openxmlformats.org/officeDocument/2006/relationships" name="Dashboard" sheetId="13" r:id="R9ddc4251b859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#,##0.0;[Red](#,##0.0);-"/>
    <x:numFmt numFmtId="202" formatCode="0.000x"/>
    <x:numFmt numFmtId="203" formatCode="0.0%;[Red](0.0%);–"/>
    <x:numFmt numFmtId="204" formatCode="#,##0.0;[Red](#,##0.0);–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14263D"/>
      <x:name val="Carlito"/>
    </x:font>
    <x:font>
      <x:b/>
      <x:sz val="11"/>
      <x:name val="Carlito"/>
    </x:font>
    <x:font>
      <x:b/>
      <x:sz val="11"/>
      <x:color rgb="FF15263C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3"/>
      <x:color rgb="FF0000FF"/>
      <x:name val="Carlito"/>
    </x:font>
    <x:font>
      <x:b/>
      <x:sz val="17"/>
      <x:color rgb="FF15263C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FFF3CA"/>
      </x:patternFill>
    </x:fill>
    <x:fill>
      <x:patternFill patternType="solid">
        <x:fgColor rgb="FFB8E0D6"/>
      </x:patternFill>
    </x:fill>
    <x:fill>
      <x:patternFill patternType="solid">
        <x:fgColor rgb="FFDDF3ED"/>
      </x:patternFill>
    </x:fill>
    <x:fill>
      <x:patternFill patternType="solid">
        <x:fgColor rgb="FFEAF4F5"/>
      </x:patternFill>
    </x:fill>
    <x:fill>
      <x:patternFill patternType="solid">
        <x:fgColor rgb="FF15263C"/>
      </x:patternFill>
    </x:fill>
    <x:fill>
      <x:patternFill patternType="solid">
        <x:fgColor rgb="FF137F84"/>
      </x:patternFill>
    </x:fill>
    <x:fill>
      <x:patternFill patternType="solid">
        <x:fgColor rgb="FFFFF7D7"/>
      </x:patternFill>
    </x:fill>
    <x:fill>
      <x:patternFill patternType="solid">
        <x:fgColor rgb="FFECF4F5"/>
      </x:patternFill>
    </x:fill>
    <x:fill>
      <x:patternFill patternType="solid">
        <x:fgColor rgb="FFFFF0BE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0" xfId="0" applyNumberFormat="1" applyFont="1" applyFill="1" applyBorder="1"/>
    <x:xf numFmtId="200" fontId="3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3" borderId="1" xfId="0" applyNumberFormat="1" applyFont="1" applyFill="1" applyBorder="1"/>
    <x:xf numFmtId="201" fontId="3" fillId="0" borderId="0" xfId="0" applyNumberFormat="1" applyFont="1" applyFill="1" applyBorder="1"/>
    <x:xf numFmtId="201" fontId="0" fillId="0" borderId="0" xfId="0" applyNumberFormat="1" applyFont="1" applyFill="1" applyBorder="1"/>
    <x:xf numFmtId="201" fontId="3" fillId="0" borderId="1" xfId="0" applyNumberFormat="1" applyFont="1" applyFill="1" applyBorder="1"/>
    <x:xf numFmtId="201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5" fillId="5" borderId="1" xfId="0" applyNumberFormat="1" applyFont="1" applyFill="1" applyBorder="1"/>
    <x:xf numFmtId="201" fontId="5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  <x:xf numFmtId="0" fontId="6" fillId="6" borderId="0" xfId="0" applyNumberFormat="1" applyFont="1" applyFill="1" applyBorder="1"/>
    <x:xf numFmtId="201" fontId="6" fillId="6" borderId="0" xfId="0" applyNumberFormat="1" applyFont="1" applyFill="1" applyBorder="1"/>
    <x:xf numFmtId="0" fontId="6" fillId="6" borderId="1" xfId="0" applyNumberFormat="1" applyFont="1" applyFill="1" applyBorder="1"/>
    <x:xf numFmtId="201" fontId="6" fillId="6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203" fontId="3" fillId="0" borderId="0" xfId="0" applyNumberFormat="1" applyFont="1" applyFill="1" applyBorder="1"/>
    <x:xf numFmtId="203" fontId="0" fillId="0" borderId="0" xfId="0" applyNumberFormat="1" applyFont="1" applyFill="1" applyBorder="1"/>
    <x:xf numFmtId="204" fontId="3" fillId="0" borderId="0" xfId="0" applyNumberFormat="1" applyFont="1" applyFill="1" applyBorder="1"/>
    <x:xf numFmtId="204" fontId="0" fillId="0" borderId="0" xfId="0" applyNumberFormat="1" applyFont="1" applyFill="1" applyBorder="1"/>
    <x:xf numFmtId="203" fontId="3" fillId="9" borderId="0" xfId="0" applyNumberFormat="1" applyFont="1" applyFill="1" applyBorder="1"/>
    <x:xf numFmtId="203" fontId="0" fillId="9" borderId="0" xfId="0" applyNumberFormat="1" applyFont="1" applyFill="1" applyBorder="1"/>
    <x:xf numFmtId="204" fontId="3" fillId="9" borderId="0" xfId="0" applyNumberFormat="1" applyFont="1" applyFill="1" applyBorder="1"/>
    <x:xf numFmtId="204" fontId="0" fillId="9" borderId="0" xfId="0" applyNumberFormat="1" applyFont="1" applyFill="1" applyBorder="1"/>
    <x:xf numFmtId="0" fontId="0" fillId="10" borderId="0" xfId="0" applyNumberFormat="1" applyFont="1" applyFill="1" applyBorder="1"/>
    <x:xf numFmtId="204" fontId="0" fillId="10" borderId="0" xfId="0" applyNumberFormat="1" applyFont="1" applyFill="1" applyBorder="1"/>
    <x:xf numFmtId="0" fontId="7" fillId="10" borderId="0" xfId="0" applyNumberFormat="1" applyFont="1" applyFill="1" applyBorder="1"/>
    <x:xf numFmtId="204" fontId="7" fillId="10" borderId="0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204" fontId="9" fillId="10" borderId="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1" fillId="10" borderId="0" xfId="0" applyNumberFormat="1" applyFont="1" applyFill="1" applyBorder="1"/>
    <x:xf numFmtId="204" fontId="11" fillId="10" borderId="0" xfId="0" applyNumberFormat="1" applyFont="1" applyFill="1" applyBorder="1"/>
    <x:xf numFmtId="203" fontId="11" fillId="1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806b5cfda4e19" /><Relationship Type="http://schemas.openxmlformats.org/officeDocument/2006/relationships/theme" Target="/xl/theme/theme1.xml" Id="R7cfba8e6ebec4bcf" /><Relationship Type="http://schemas.openxmlformats.org/officeDocument/2006/relationships/sharedStrings" Target="/xl/sharedStrings.xml" Id="Rd13024349ca24a0e" /><Relationship Type="http://schemas.openxmlformats.org/officeDocument/2006/relationships/worksheet" Target="/xl/worksheets/sheet1.xml" Id="Ra0cc965877ca4b76" /><Relationship Type="http://schemas.openxmlformats.org/officeDocument/2006/relationships/worksheet" Target="/xl/worksheets/sheet2.xml" Id="R06ca19f66dd34b4b" /><Relationship Type="http://schemas.openxmlformats.org/officeDocument/2006/relationships/worksheet" Target="/xl/worksheets/sheet3.xml" Id="R751bd70c37b5416c" /><Relationship Type="http://schemas.openxmlformats.org/officeDocument/2006/relationships/worksheet" Target="/xl/worksheets/sheet4.xml" Id="R88931e967e2d4e7f" /><Relationship Type="http://schemas.openxmlformats.org/officeDocument/2006/relationships/worksheet" Target="/xl/worksheets/sheet5.xml" Id="Re9d244a62241487c" /><Relationship Type="http://schemas.openxmlformats.org/officeDocument/2006/relationships/worksheet" Target="/xl/worksheets/sheet6.xml" Id="R91d139c78c154d11" /><Relationship Type="http://schemas.openxmlformats.org/officeDocument/2006/relationships/worksheet" Target="/xl/worksheets/sheet7.xml" Id="Rc4af7d810d484b58" /><Relationship Type="http://schemas.openxmlformats.org/officeDocument/2006/relationships/worksheet" Target="/xl/worksheets/sheet8.xml" Id="R12ce6684d75a4178" /><Relationship Type="http://schemas.openxmlformats.org/officeDocument/2006/relationships/worksheet" Target="/xl/worksheets/sheet9.xml" Id="R8764e7cc19864d2d" /><Relationship Type="http://schemas.openxmlformats.org/officeDocument/2006/relationships/worksheet" Target="/xl/worksheets/sheet10.xml" Id="Re56ddd963b104ba6" /><Relationship Type="http://schemas.openxmlformats.org/officeDocument/2006/relationships/worksheet" Target="/xl/worksheets/sheet11.xml" Id="R45e9b6dbfb804556" /><Relationship Type="http://schemas.openxmlformats.org/officeDocument/2006/relationships/worksheet" Target="/xl/worksheets/sheet12.xml" Id="R9d15ad9f6fc346aa" /><Relationship Type="http://schemas.openxmlformats.org/officeDocument/2006/relationships/worksheet" Target="/xl/worksheets/sheet13.xml" Id="R9ddc4251b8594e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623cee65e24f10" /><Relationship Type="http://schemas.openxmlformats.org/officeDocument/2006/relationships/chart" Target="/xl/drawings/charts/chart2.xml" Id="Rb84002e0b18840c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CA</c:v>
          </c:tx>
          <c:marker>
            <c:symbol val="none"/>
          </c:marker>
          <c:cat>
            <c:strRef>
              <c:f>'Dashboard'!$C$31:$G$31</c:f>
              <c:strCache>
                <c:ptCount val="0"/>
              </c:strCache>
            </c:strRef>
          </c:cat>
          <c:val>
            <c:numRef>
              <c:f>'Dashboard'!$C$32:$G$32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'Dashboard'!$C$31:$G$31</c:f>
              <c:strCache>
                <c:ptCount val="0"/>
              </c:strCache>
            </c:strRef>
          </c:cat>
          <c:val>
            <c:numRef>
              <c:f>'Dashboard'!$C$33:$G$33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FCFF</c:v>
          </c:tx>
          <c:marker>
            <c:symbol val="none"/>
          </c:marker>
          <c:cat>
            <c:strRef>
              <c:f>'Dashboard'!$C$31:$G$31</c:f>
              <c:strCache>
                <c:ptCount val="0"/>
              </c:strCache>
            </c:strRef>
          </c:cat>
          <c:val>
            <c:numRef>
              <c:f>'Dashboard'!$C$34:$G$34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Valeur par action</c:v>
          </c:tx>
          <c:cat>
            <c:strRef>
              <c:f>'Comparaison'!$B$4:$D$4</c:f>
              <c:strCache>
                <c:ptCount val="0"/>
              </c:strCache>
            </c:strRef>
          </c:cat>
          <c:val>
            <c:numRef>
              <c:f>'Comparaison'!$B$8:$D$8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623cee65e24f10"/>
        </a:graphicData>
      </a:graphic>
    </xdr:graphicFrame>
    <xdr:clientData/>
  </xdr:twoCellAnchor>
  <xdr:twoCellAnchor>
    <xdr:from>
      <xdr:col>4</xdr:col>
      <xdr:colOff>0</xdr:colOff>
      <xdr:row>36</xdr:row>
      <xdr:rowOff>0</xdr:rowOff>
    </xdr:from>
    <xdr:to>
      <xdr:col>11</xdr:col>
      <xdr:colOff>0</xdr:colOff>
      <xdr:row>54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4002e0b18840c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3cbe6b8b6c0f4ed3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4" customHeight="1">
      <x:c r="A1" s="3" t="str">
        <x:v>ÉTUDE 01  /  VALORISATION D’ENTREPRISE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10" customHeight="1"/>
    <x:row r="4" ht="24" customHeight="1">
      <x:c r="A4" s="6" t="str">
        <x:v>UNE ÉTUDE DE CAS PROFESSIONNELLE  /  DONNÉES 100 % FICTIVES</x:v>
      </x:c>
      <x:c r="B4" s="6"/>
      <x:c r="C4" s="6"/>
      <x:c r="D4" s="6"/>
      <x:c r="E4" s="6"/>
      <x:c r="F4" s="6"/>
      <x:c r="G4" s="6"/>
      <x:c r="H4" s="6"/>
    </x:row>
    <x:row r="6">
      <x:c r="A6" t="str">
        <x:v>ENTREPRISE</x:v>
      </x:c>
      <x:c r="B6" t="str">
        <x:f>Hypotheses!B5</x:f>
        <x:v>Atlas Packaging Maroc SA</x:v>
      </x:c>
    </x:row>
    <x:row r="7">
      <x:c r="A7" t="str">
        <x:v>ACTIVITÉ</x:v>
      </x:c>
      <x:c r="B7" t="str">
        <x:f>Hypotheses!B6</x:f>
        <x:v>Emballage industriel B2B</x:v>
      </x:c>
    </x:row>
    <x:row r="8">
      <x:c r="A8" t="str">
        <x:v>MÉTHODE</x:v>
      </x:c>
      <x:c r="B8" t="str">
        <x:v>DCF • FCFF • WACC</x:v>
      </x:c>
    </x:row>
    <x:row r="10" ht="24" customHeight="1">
      <x:c r="A10" s="6" t="str">
        <x:v>INDICATEURS DE VALORISATION</x:v>
      </x:c>
      <x:c r="B10" s="6"/>
      <x:c r="C10" s="6"/>
      <x:c r="D10" s="6"/>
      <x:c r="E10" s="6"/>
      <x:c r="F10" s="6"/>
      <x:c r="G10" s="6"/>
      <x:c r="H10" s="6"/>
    </x:row>
    <x:row r="12">
      <x:c r="A12" t="str">
        <x:v>WACC</x:v>
      </x:c>
      <x:c r="C12" s="12" t="n">
        <x:f>Hypotheses!B34</x:f>
        <x:v>0.08881520000000001</x:v>
      </x:c>
    </x:row>
    <x:row r="13">
      <x:c r="A13" t="str">
        <x:v>Croissance terminale</x:v>
      </x:c>
      <x:c r="C13" s="12" t="n">
        <x:f>Hypotheses!B20</x:f>
        <x:v>0.025</x:v>
      </x:c>
    </x:row>
    <x:row r="14">
      <x:c r="A14" t="str">
        <x:v>Valeur d'entreprise (M MAD)</x:v>
      </x:c>
      <x:c r="C14" s="21" t="n">
        <x:f>DCF!B21</x:f>
        <x:v>613.5164423700955</x:v>
      </x:c>
    </x:row>
    <x:row r="15">
      <x:c r="A15" t="str">
        <x:v>Valeur des fonds propres (M MAD)</x:v>
      </x:c>
      <x:c r="C15" s="21" t="n">
        <x:f>DCF!B23</x:f>
        <x:v>539.5164423700955</x:v>
      </x:c>
    </x:row>
    <x:row r="16" ht="31" customHeight="1">
      <x:c r="A16" s="32" t="str">
        <x:v>Valeur fondamentale par action (MAD)</x:v>
      </x:c>
      <x:c r="B16" s="32"/>
      <x:c r="C16" s="33" t="n">
        <x:f>DCF!B25</x:f>
        <x:v>89.91940706168259</x:v>
      </x:c>
    </x:row>
    <x:row r="17">
      <x:c r="A17" t="str">
        <x:v>Poids valeur terminale</x:v>
      </x:c>
      <x:c r="C17" s="12" t="n">
        <x:f>DCF!B27</x:f>
        <x:v>0.7719122897812051</x:v>
      </x:c>
    </x:row>
    <x:row r="18">
      <x:c r="A18" t="str">
        <x:v>CA 2025 (M MAD)</x:v>
      </x:c>
      <x:c r="C18" s="21" t="n">
        <x:f>Historique!D8</x:f>
        <x:v>319</x:v>
      </x:c>
    </x:row>
    <x:row r="19">
      <x:c r="A19" t="str">
        <x:v>CA 2030 (M MAD)</x:v>
      </x:c>
      <x:c r="C19" s="21" t="n">
        <x:f>Previsions!F9</x:f>
        <x:v>462.0803958327626</x:v>
      </x:c>
    </x:row>
    <x:row r="20">
      <x:c r="A20" t="str">
        <x:v>Marge EBITDA 2030</x:v>
      </x:c>
      <x:c r="C20" s="12" t="n">
        <x:f>Previsions!F11</x:f>
        <x:v>0.21300000000000002</x:v>
      </x:c>
    </x:row>
    <x:row r="23" ht="24" customHeight="1">
      <x:c r="A23" s="6" t="str">
        <x:v>LECTURE DE L'ANALYSTE</x:v>
      </x:c>
      <x:c r="B23" s="6"/>
      <x:c r="C23" s="6"/>
      <x:c r="D23" s="6"/>
      <x:c r="E23" s="6"/>
      <x:c r="F23" s="6"/>
      <x:c r="G23" s="6"/>
      <x:c r="H23" s="6"/>
    </x:row>
    <x:row r="25">
      <x:c r="A25" t="str">
        <x:v>Approche : actualisation des flux disponibles pour l’ensemble des financeurs.</x:v>
      </x:c>
    </x:row>
    <x:row r="26">
      <x:c r="A26" t="str">
        <x:v>Calcul : FCFF = NOPAT + amortissements − CAPEX − variation du BFR.</x:v>
      </x:c>
    </x:row>
    <x:row r="27">
      <x:c r="A27" t="str">
        <x:v>Passage EV → equity : déduction de la dette nette à la valeur d'entreprise.</x:v>
      </x:c>
    </x:row>
    <x:row r="28">
      <x:c r="A28" t="str">
        <x:v>Robustesse : la grille WACC × g illustre la sensibilité du prix théorique.</x:v>
      </x:c>
    </x:row>
    <x:row r="29">
      <x:c r="A29" t="str">
        <x:v>Limite majeure : hypothèses et états financiers entièrement simulés.</x:v>
      </x:c>
    </x:row>
    <x:row r="30">
      <x:c r="A30" t="str">
        <x:v>Usage : démonstration académique, et non recommandation d’investissement.</x:v>
      </x:c>
    </x:row>
  </x:sheetData>
  <x:mergeCells>
    <x:mergeCell ref="A1:J2"/>
    <x:mergeCell ref="A4:H4"/>
    <x:mergeCell ref="A10:H10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4" customHeight="1">
      <x:c r="A1" s="3" t="str">
        <x:v>HYPOTHÈSES  /  PILOTAGE DU MODÈLE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10" customHeight="1"/>
    <x:row r="4" ht="24" customHeight="1">
      <x:c r="A4" s="6" t="str">
        <x:v>01  IDENTITÉ ET STRUCTURE DU CAPITAL</x:v>
      </x:c>
      <x:c r="B4" s="6"/>
      <x:c r="C4" s="6"/>
      <x:c r="D4" s="6"/>
      <x:c r="E4" s="6"/>
      <x:c r="F4" s="6"/>
    </x:row>
    <x:row r="5">
      <x:c r="A5" t="str">
        <x:v>Entreprise</x:v>
      </x:c>
      <x:c r="B5" t="str">
        <x:v>Atlas Packaging Maroc SA</x:v>
      </x:c>
    </x:row>
    <x:row r="6">
      <x:c r="A6" t="str">
        <x:v>Secteur</x:v>
      </x:c>
      <x:c r="B6" t="str">
        <x:v>Emballage industriel B2B</x:v>
      </x:c>
    </x:row>
    <x:row r="7">
      <x:c r="A7" t="str">
        <x:v>Pays</x:v>
      </x:c>
      <x:c r="B7" t="str">
        <x:v>Maroc</x:v>
      </x:c>
    </x:row>
    <x:row r="8">
      <x:c r="A8" t="str">
        <x:v>Unité</x:v>
      </x:c>
      <x:c r="B8" t="str">
        <x:v>Millions de MAD (M MAD)</x:v>
      </x:c>
    </x:row>
    <x:row r="10">
      <x:c r="A10" t="str">
        <x:v>Date de valorisation</x:v>
      </x:c>
      <x:c r="B10" t="str">
        <x:v>31/12/2025</x:v>
      </x:c>
    </x:row>
    <x:row r="12">
      <x:c r="A12" t="str">
        <x:v>Taux sans risque</x:v>
      </x:c>
      <x:c r="B12" s="14" t="n">
        <x:v>0.033</x:v>
      </x:c>
    </x:row>
    <x:row r="13">
      <x:c r="A13" t="str">
        <x:v>Prime de risque actions</x:v>
      </x:c>
      <x:c r="B13" s="14" t="n">
        <x:v>0.065</x:v>
      </x:c>
    </x:row>
    <x:row r="14">
      <x:c r="A14" t="str">
        <x:v>Bêta désendetté / ajusté</x:v>
      </x:c>
      <x:c r="B14" s="15" t="n">
        <x:v>1.12</x:v>
      </x:c>
    </x:row>
    <x:row r="15">
      <x:c r="A15" t="str">
        <x:v>Coût dette avant impôt</x:v>
      </x:c>
      <x:c r="B15" s="14" t="n">
        <x:v>0.061</x:v>
      </x:c>
    </x:row>
    <x:row r="16">
      <x:c r="A16" t="str">
        <x:v>Taux IS</x:v>
      </x:c>
      <x:c r="B16" s="14" t="n">
        <x:v>0.26</x:v>
      </x:c>
    </x:row>
    <x:row r="17">
      <x:c r="A17" t="str">
        <x:v>Poids dette / capital</x:v>
      </x:c>
      <x:c r="B17" s="14" t="n">
        <x:v>0.28</x:v>
      </x:c>
    </x:row>
    <x:row r="18">
      <x:c r="A18" t="str">
        <x:v>Poids fonds propres</x:v>
      </x:c>
      <x:c r="B18" s="14" t="n">
        <x:v>0.72</x:v>
      </x:c>
    </x:row>
    <x:row r="19">
      <x:c r="B19" s="16"/>
    </x:row>
    <x:row r="20">
      <x:c r="A20" t="str">
        <x:v>Croissance terminale g</x:v>
      </x:c>
      <x:c r="B20" s="14" t="n">
        <x:v>0.025</x:v>
      </x:c>
    </x:row>
    <x:row r="21">
      <x:c r="A21" t="str">
        <x:v>Croissance CA 2026</x:v>
      </x:c>
      <x:c r="B21" s="14" t="n">
        <x:v>0.095</x:v>
      </x:c>
    </x:row>
    <x:row r="22">
      <x:c r="A22" t="str">
        <x:v>Décroissance croissance annuelle</x:v>
      </x:c>
      <x:c r="B22" s="14" t="n">
        <x:v>0.009</x:v>
      </x:c>
    </x:row>
    <x:row r="23">
      <x:c r="A23" t="str">
        <x:v>Marge EBITDA 2026</x:v>
      </x:c>
      <x:c r="B23" s="14" t="n">
        <x:v>0.197</x:v>
      </x:c>
    </x:row>
    <x:row r="24">
      <x:c r="A24" t="str">
        <x:v>Gain marge EBITDA annuel</x:v>
      </x:c>
      <x:c r="B24" s="14" t="n">
        <x:v>0.004</x:v>
      </x:c>
    </x:row>
    <x:row r="25">
      <x:c r="A25" t="str">
        <x:v>D&amp;A en % du CA</x:v>
      </x:c>
      <x:c r="B25" s="14" t="n">
        <x:v>0.041</x:v>
      </x:c>
    </x:row>
    <x:row r="26">
      <x:c r="A26" t="str">
        <x:v>Capex en % du CA</x:v>
      </x:c>
      <x:c r="B26" s="14" t="n">
        <x:v>0.062</x:v>
      </x:c>
    </x:row>
    <x:row r="27">
      <x:c r="A27" t="str">
        <x:v>BFR en % du CA</x:v>
      </x:c>
      <x:c r="B27" s="14" t="n">
        <x:v>0.155</x:v>
      </x:c>
    </x:row>
    <x:row r="28">
      <x:c r="A28" t="str">
        <x:v>Dette financière nette 2025</x:v>
      </x:c>
      <x:c r="B28" s="15" t="n">
        <x:v>74</x:v>
      </x:c>
    </x:row>
    <x:row r="29">
      <x:c r="A29" t="str">
        <x:v>Nombre d'actions (millions)</x:v>
      </x:c>
      <x:c r="B29" s="15" t="n">
        <x:v>6</x:v>
      </x:c>
    </x:row>
    <x:row r="30">
      <x:c r="A30" t="str">
        <x:v>Délai actualisation (années)</x:v>
      </x:c>
      <x:c r="B30" s="15" t="n">
        <x:v>1</x:v>
      </x:c>
    </x:row>
    <x:row r="33">
      <x:c r="A33" t="str">
        <x:v>Coût fonds propres (CAPM)</x:v>
      </x:c>
      <x:c r="B33" s="12" t="n">
        <x:f>B12+B14*B13</x:f>
        <x:v>0.1058</x:v>
      </x:c>
    </x:row>
    <x:row r="34">
      <x:c r="A34" t="str">
        <x:v>WACC</x:v>
      </x:c>
      <x:c r="B34" s="12" t="n">
        <x:f>B33*B18+B15*(1-B16)*B17</x:f>
        <x:v>0.08881520000000001</x:v>
      </x:c>
    </x:row>
    <x:row r="37">
      <x:c r="A37" t="str">
        <x:v>Source de tous les paramètres : données fictives pédagogiques ; non liées à une entreprise réelle.</x:v>
      </x:c>
    </x:row>
  </x:sheetData>
  <x:mergeCells>
    <x:mergeCell ref="A1:J2"/>
    <x:mergeCell ref="A4:F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4" customHeight="1">
      <x:c r="A1" s="3" t="str">
        <x:v>HISTORIQUE  /  COMPTES RECONSTITUÉS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10" customHeight="1"/>
    <x:row r="4" ht="24" customHeight="1">
      <x:c r="A4" s="6" t="str">
        <x:v>01  COMPTE DE RÉSULTAT SIMPLIFIÉ  (M MAD)</x:v>
      </x:c>
      <x:c r="B4" s="6"/>
      <x:c r="C4" s="6"/>
      <x:c r="D4" s="6"/>
      <x:c r="E4" s="6"/>
    </x:row>
    <x:row r="6">
      <x:c r="B6" s="8" t="n">
        <x:v>2023</x:v>
      </x:c>
      <x:c r="C6" s="8" t="n">
        <x:v>2024</x:v>
      </x:c>
      <x:c r="D6" s="8" t="n">
        <x:v>2025</x:v>
      </x:c>
    </x:row>
    <x:row r="8">
      <x:c r="A8" t="str">
        <x:v>Chiffre d'affaires</x:v>
      </x:c>
      <x:c r="B8" s="20" t="n">
        <x:v>260</x:v>
      </x:c>
      <x:c r="C8" s="20" t="n">
        <x:v>289</x:v>
      </x:c>
      <x:c r="D8" s="20" t="n">
        <x:v>319</x:v>
      </x:c>
    </x:row>
    <x:row r="9">
      <x:c r="A9" t="str">
        <x:v>Croissance annuelle</x:v>
      </x:c>
      <x:c r="B9" s="12"/>
      <x:c r="C9" s="12" t="n">
        <x:f>C8/B8-1</x:f>
        <x:v>0.11153846153846159</x:v>
      </x:c>
      <x:c r="D9" s="12" t="n">
        <x:f>D8/C8-1</x:f>
        <x:v>0.10380622837370246</x:v>
      </x:c>
    </x:row>
    <x:row r="10">
      <x:c r="B10" s="21"/>
      <x:c r="C10" s="21"/>
      <x:c r="D10" s="21"/>
    </x:row>
    <x:row r="11">
      <x:c r="A11" t="str">
        <x:v>Charges d'exploitation décaissées</x:v>
      </x:c>
      <x:c r="B11" s="20" t="n">
        <x:v>216.84</x:v>
      </x:c>
      <x:c r="C11" s="20" t="n">
        <x:v>237.55800000000002</x:v>
      </x:c>
      <x:c r="D11" s="20" t="n">
        <x:v>258.709</x:v>
      </x:c>
    </x:row>
    <x:row r="12">
      <x:c r="A12" s="44" t="str">
        <x:v>EBITDA</x:v>
      </x:c>
      <x:c r="B12" s="45" t="n">
        <x:f>B8-B11</x:f>
        <x:v>43.16</x:v>
      </x:c>
      <x:c r="C12" s="45" t="n">
        <x:f>C8-C11</x:f>
        <x:v>51.44199999999998</x:v>
      </x:c>
      <x:c r="D12" s="45" t="n">
        <x:f>D8-D11</x:f>
        <x:v>60.291</x:v>
      </x:c>
      <x:c r="E12" s="44"/>
      <x:c r="F12" s="44"/>
    </x:row>
    <x:row r="13">
      <x:c r="A13" t="str">
        <x:v>Marge EBITDA</x:v>
      </x:c>
      <x:c r="B13" s="12" t="n">
        <x:f>B12/B8</x:f>
        <x:v>0.16599999999999998</x:v>
      </x:c>
      <x:c r="C13" s="12" t="n">
        <x:f>C12/C8</x:f>
        <x:v>0.17799999999999994</x:v>
      </x:c>
      <x:c r="D13" s="12" t="n">
        <x:f>D12/D8</x:f>
        <x:v>0.189</x:v>
      </x:c>
    </x:row>
    <x:row r="14">
      <x:c r="A14" t="str">
        <x:v>Dotations aux amortissements</x:v>
      </x:c>
      <x:c r="B14" s="20" t="n">
        <x:v>10.6</x:v>
      </x:c>
      <x:c r="C14" s="20" t="n">
        <x:v>11.7</x:v>
      </x:c>
      <x:c r="D14" s="20" t="n">
        <x:v>13</x:v>
      </x:c>
    </x:row>
    <x:row r="15">
      <x:c r="A15" s="44" t="str">
        <x:v>EBIT</x:v>
      </x:c>
      <x:c r="B15" s="45" t="n">
        <x:f>B12-B14</x:f>
        <x:v>32.559999999999995</x:v>
      </x:c>
      <x:c r="C15" s="45" t="n">
        <x:f>C12-C14</x:f>
        <x:v>39.741999999999976</x:v>
      </x:c>
      <x:c r="D15" s="45" t="n">
        <x:f>D12-D14</x:f>
        <x:v>47.291</x:v>
      </x:c>
      <x:c r="E15" s="44"/>
      <x:c r="F15" s="44"/>
    </x:row>
    <x:row r="16">
      <x:c r="A16" t="str">
        <x:v>Marge EBIT</x:v>
      </x:c>
      <x:c r="B16" s="12" t="n">
        <x:f>B15/B8</x:f>
        <x:v>0.1252307692307692</x:v>
      </x:c>
      <x:c r="C16" s="12" t="n">
        <x:f>C15/C8</x:f>
        <x:v>0.13751557093425598</x:v>
      </x:c>
      <x:c r="D16" s="12" t="n">
        <x:f>D15/D8</x:f>
        <x:v>0.1482476489028213</x:v>
      </x:c>
    </x:row>
    <x:row r="17">
      <x:c r="A17" t="str">
        <x:v>Impôt théorique (IS)</x:v>
      </x:c>
      <x:c r="B17" s="21" t="n">
        <x:f>B15*Hypotheses!$B$16</x:f>
        <x:v>8.465599999999998</x:v>
      </x:c>
      <x:c r="C17" s="21" t="n">
        <x:f>C15*Hypotheses!$B$16</x:f>
        <x:v>10.332919999999994</x:v>
      </x:c>
      <x:c r="D17" s="21" t="n">
        <x:f>D15*Hypotheses!$B$16</x:f>
        <x:v>12.29566</x:v>
      </x:c>
    </x:row>
    <x:row r="18">
      <x:c r="A18" s="44" t="str">
        <x:v>NOPAT</x:v>
      </x:c>
      <x:c r="B18" s="45" t="n">
        <x:f>B15-B17</x:f>
        <x:v>24.094399999999997</x:v>
      </x:c>
      <x:c r="C18" s="45" t="n">
        <x:f>C15-C17</x:f>
        <x:v>29.40907999999998</x:v>
      </x:c>
      <x:c r="D18" s="45" t="n">
        <x:f>D15-D17</x:f>
        <x:v>34.99534</x:v>
      </x:c>
      <x:c r="E18" s="44"/>
      <x:c r="F18" s="44"/>
    </x:row>
    <x:row r="19">
      <x:c r="B19" s="21"/>
      <x:c r="C19" s="21"/>
      <x:c r="D19" s="21"/>
    </x:row>
    <x:row r="20">
      <x:c r="B20" s="21"/>
      <x:c r="C20" s="21"/>
      <x:c r="D20" s="21"/>
    </x:row>
    <x:row r="21">
      <x:c r="A21" t="str">
        <x:v>CAPEX</x:v>
      </x:c>
      <x:c r="B21" s="20" t="n">
        <x:v>16.9</x:v>
      </x:c>
      <x:c r="C21" s="20" t="n">
        <x:v>18.2</x:v>
      </x:c>
      <x:c r="D21" s="20" t="n">
        <x:v>20.2</x:v>
      </x:c>
    </x:row>
    <x:row r="22">
      <x:c r="A22" t="str">
        <x:v>BFR opérationnel</x:v>
      </x:c>
      <x:c r="B22" s="20" t="n">
        <x:v>40</x:v>
      </x:c>
      <x:c r="C22" s="20" t="n">
        <x:v>44.6</x:v>
      </x:c>
      <x:c r="D22" s="20" t="n">
        <x:v>49.4</x:v>
      </x:c>
    </x:row>
    <x:row r="23">
      <x:c r="A23" t="str">
        <x:v>Variation BFR</x:v>
      </x:c>
      <x:c r="B23" s="21"/>
      <x:c r="C23" s="21" t="n">
        <x:f>C22-B22</x:f>
        <x:v>4.600000000000001</x:v>
      </x:c>
      <x:c r="D23" s="21" t="n">
        <x:f>D22-C22</x:f>
        <x:v>4.799999999999997</x:v>
      </x:c>
    </x:row>
    <x:row r="26">
      <x:c r="A26" t="str">
        <x:v>Comptes fictifs cohérents, créés pour la démonstration de la méthode DCF.</x:v>
      </x:c>
    </x:row>
  </x:sheetData>
  <x:mergeCells>
    <x:mergeCell ref="A1:J2"/>
    <x:mergeCell ref="A4:E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4" customHeight="1">
      <x:c r="A1" s="3" t="str">
        <x:v>PRÉVISIONS  /  BUSINESS PLAN 2026–2030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10" customHeight="1"/>
    <x:row r="4" ht="24" customHeight="1">
      <x:c r="A4" s="6" t="str">
        <x:v>01  PLAN FINANCIER  /  HYPOTHÈSES EXPLICITES</x:v>
      </x:c>
      <x:c r="B4" s="6"/>
      <x:c r="C4" s="6"/>
      <x:c r="D4" s="6"/>
      <x:c r="E4" s="6"/>
      <x:c r="F4" s="6"/>
      <x:c r="G4" s="6"/>
    </x:row>
    <x:row r="6">
      <x:c r="B6" s="24" t="n">
        <x:v>2026</x:v>
      </x:c>
      <x:c r="C6" s="24" t="n">
        <x:v>2027</x:v>
      </x:c>
      <x:c r="D6" s="24" t="n">
        <x:v>2028</x:v>
      </x:c>
      <x:c r="E6" s="24" t="n">
        <x:v>2029</x:v>
      </x:c>
      <x:c r="F6" s="24" t="n">
        <x:v>2030</x:v>
      </x:c>
    </x:row>
    <x:row r="8">
      <x:c r="A8" t="str">
        <x:v>Croissance chiffre d'affaires</x:v>
      </x:c>
      <x:c r="B8" s="12" t="n">
        <x:f>Hypotheses!$B$21-0*Hypotheses!$B$22</x:f>
        <x:v>0.095</x:v>
      </x:c>
      <x:c r="C8" s="12" t="n">
        <x:f>Hypotheses!$B$21-1*Hypotheses!$B$22</x:f>
        <x:v>0.08600000000000001</x:v>
      </x:c>
      <x:c r="D8" s="12" t="n">
        <x:f>Hypotheses!$B$21-2*Hypotheses!$B$22</x:f>
        <x:v>0.077</x:v>
      </x:c>
      <x:c r="E8" s="12" t="n">
        <x:f>Hypotheses!$B$21-3*Hypotheses!$B$22</x:f>
        <x:v>0.068</x:v>
      </x:c>
      <x:c r="F8" s="12" t="n">
        <x:f>Hypotheses!$B$21-4*Hypotheses!$B$22</x:f>
        <x:v>0.059000000000000004</x:v>
      </x:c>
    </x:row>
    <x:row r="9">
      <x:c r="A9" t="str">
        <x:v>Chiffre d'affaires</x:v>
      </x:c>
      <x:c r="B9" s="21" t="n">
        <x:f>Historique!D8*(1+B8)</x:f>
        <x:v>349.305</x:v>
      </x:c>
      <x:c r="C9" s="21" t="n">
        <x:f>B9*(1+C8)</x:f>
        <x:v>379.34523</x:v>
      </x:c>
      <x:c r="D9" s="21" t="n">
        <x:f>C9*(1+D8)</x:f>
        <x:v>408.55481271</x:v>
      </x:c>
      <x:c r="E9" s="21" t="n">
        <x:f>D9*(1+E8)</x:f>
        <x:v>436.3365399742801</x:v>
      </x:c>
      <x:c r="F9" s="21" t="n">
        <x:f>E9*(1+F8)</x:f>
        <x:v>462.0803958327626</x:v>
      </x:c>
    </x:row>
    <x:row r="10">
      <x:c r="B10" s="21"/>
      <x:c r="C10" s="21"/>
      <x:c r="D10" s="21"/>
      <x:c r="E10" s="21"/>
      <x:c r="F10" s="21"/>
    </x:row>
    <x:row r="11">
      <x:c r="A11" t="str">
        <x:v>Marge EBITDA cible</x:v>
      </x:c>
      <x:c r="B11" s="12" t="n">
        <x:f>Hypotheses!$B$23+0*Hypotheses!$B$24</x:f>
        <x:v>0.197</x:v>
      </x:c>
      <x:c r="C11" s="12" t="n">
        <x:f>Hypotheses!$B$23+1*Hypotheses!$B$24</x:f>
        <x:v>0.201</x:v>
      </x:c>
      <x:c r="D11" s="12" t="n">
        <x:f>Hypotheses!$B$23+2*Hypotheses!$B$24</x:f>
        <x:v>0.20500000000000002</x:v>
      </x:c>
      <x:c r="E11" s="12" t="n">
        <x:f>Hypotheses!$B$23+3*Hypotheses!$B$24</x:f>
        <x:v>0.20900000000000002</x:v>
      </x:c>
      <x:c r="F11" s="12" t="n">
        <x:f>Hypotheses!$B$23+4*Hypotheses!$B$24</x:f>
        <x:v>0.21300000000000002</x:v>
      </x:c>
    </x:row>
    <x:row r="12">
      <x:c r="A12" s="44" t="str">
        <x:v>EBITDA</x:v>
      </x:c>
      <x:c r="B12" s="45" t="n">
        <x:f>B9*B11</x:f>
        <x:v>68.813085</x:v>
      </x:c>
      <x:c r="C12" s="45" t="n">
        <x:f>C9*C11</x:f>
        <x:v>76.24839123000001</x:v>
      </x:c>
      <x:c r="D12" s="45" t="n">
        <x:f>D9*D11</x:f>
        <x:v>83.75373660555002</x:v>
      </x:c>
      <x:c r="E12" s="45" t="n">
        <x:f>E9*E11</x:f>
        <x:v>91.19433685462454</x:v>
      </x:c>
      <x:c r="F12" s="45" t="n">
        <x:f>F9*F11</x:f>
        <x:v>98.42312431237843</x:v>
      </x:c>
    </x:row>
    <x:row r="13">
      <x:c r="A13" t="str">
        <x:v>Charges opérationnelles (hors D&amp;A)</x:v>
      </x:c>
      <x:c r="B13" s="21" t="n">
        <x:f>B9-B12</x:f>
        <x:v>280.491915</x:v>
      </x:c>
      <x:c r="C13" s="21" t="n">
        <x:f>C9-C12</x:f>
        <x:v>303.09683877</x:v>
      </x:c>
      <x:c r="D13" s="21" t="n">
        <x:f>D9-D12</x:f>
        <x:v>324.80107610445</x:v>
      </x:c>
      <x:c r="E13" s="21" t="n">
        <x:f>E9-E12</x:f>
        <x:v>345.1422031196555</x:v>
      </x:c>
      <x:c r="F13" s="21" t="n">
        <x:f>F9-F12</x:f>
        <x:v>363.65727152038414</x:v>
      </x:c>
    </x:row>
    <x:row r="14">
      <x:c r="A14" t="str">
        <x:v>Dotations aux amortissements</x:v>
      </x:c>
      <x:c r="B14" s="21" t="n">
        <x:f>B9*Hypotheses!$B$25</x:f>
        <x:v>14.321505</x:v>
      </x:c>
      <x:c r="C14" s="21" t="n">
        <x:f>C9*Hypotheses!$B$25</x:f>
        <x:v>15.553154430000001</x:v>
      </x:c>
      <x:c r="D14" s="21" t="n">
        <x:f>D9*Hypotheses!$B$25</x:f>
        <x:v>16.75074732111</x:v>
      </x:c>
      <x:c r="E14" s="21" t="n">
        <x:f>E9*Hypotheses!$B$25</x:f>
        <x:v>17.889798138945483</x:v>
      </x:c>
      <x:c r="F14" s="21" t="n">
        <x:f>F9*Hypotheses!$B$25</x:f>
        <x:v>18.945296229143267</x:v>
      </x:c>
    </x:row>
    <x:row r="15">
      <x:c r="A15" t="str">
        <x:v>EBIT</x:v>
      </x:c>
      <x:c r="B15" s="21" t="n">
        <x:f>B12-B14</x:f>
        <x:v>54.49158</x:v>
      </x:c>
      <x:c r="C15" s="21" t="n">
        <x:f>C12-C14</x:f>
        <x:v>60.69523680000001</x:v>
      </x:c>
      <x:c r="D15" s="21" t="n">
        <x:f>D12-D14</x:f>
        <x:v>67.00298928444002</x:v>
      </x:c>
      <x:c r="E15" s="21" t="n">
        <x:f>E12-E14</x:f>
        <x:v>73.30453871567906</x:v>
      </x:c>
      <x:c r="F15" s="21" t="n">
        <x:f>F12-F14</x:f>
        <x:v>79.47782808323517</x:v>
      </x:c>
    </x:row>
    <x:row r="16">
      <x:c r="A16" t="str">
        <x:v>Impôt théorique</x:v>
      </x:c>
      <x:c r="B16" s="21" t="n">
        <x:f>MAX(0,B15)*Hypotheses!$B$16</x:f>
        <x:v>14.1678108</x:v>
      </x:c>
      <x:c r="C16" s="21" t="n">
        <x:f>MAX(0,C15)*Hypotheses!$B$16</x:f>
        <x:v>15.780761568000003</x:v>
      </x:c>
      <x:c r="D16" s="21" t="n">
        <x:f>MAX(0,D15)*Hypotheses!$B$16</x:f>
        <x:v>17.420777213954405</x:v>
      </x:c>
      <x:c r="E16" s="21" t="n">
        <x:f>MAX(0,E15)*Hypotheses!$B$16</x:f>
        <x:v>19.059180066076557</x:v>
      </x:c>
      <x:c r="F16" s="21" t="n">
        <x:f>MAX(0,F15)*Hypotheses!$B$16</x:f>
        <x:v>20.664235301641146</x:v>
      </x:c>
    </x:row>
    <x:row r="17">
      <x:c r="A17" s="44" t="str">
        <x:v>NOPAT</x:v>
      </x:c>
      <x:c r="B17" s="45" t="n">
        <x:f>B15-B16</x:f>
        <x:v>40.3237692</x:v>
      </x:c>
      <x:c r="C17" s="45" t="n">
        <x:f>C15-C16</x:f>
        <x:v>44.91447523200001</x:v>
      </x:c>
      <x:c r="D17" s="45" t="n">
        <x:f>D15-D16</x:f>
        <x:v>49.58221207048561</x:v>
      </x:c>
      <x:c r="E17" s="45" t="n">
        <x:f>E15-E16</x:f>
        <x:v>54.2453586496025</x:v>
      </x:c>
      <x:c r="F17" s="45" t="n">
        <x:f>F15-F16</x:f>
        <x:v>58.813592781594025</x:v>
      </x:c>
    </x:row>
    <x:row r="18">
      <x:c r="B18" s="21"/>
      <x:c r="C18" s="21"/>
      <x:c r="D18" s="21"/>
      <x:c r="E18" s="21"/>
      <x:c r="F18" s="21"/>
    </x:row>
    <x:row r="19">
      <x:c r="A19" t="str">
        <x:v>CAPEX</x:v>
      </x:c>
      <x:c r="B19" s="21" t="n">
        <x:f>B9*Hypotheses!$B$26</x:f>
        <x:v>21.65691</x:v>
      </x:c>
      <x:c r="C19" s="21" t="n">
        <x:f>C9*Hypotheses!$B$26</x:f>
        <x:v>23.51940426</x:v>
      </x:c>
      <x:c r="D19" s="21" t="n">
        <x:f>D9*Hypotheses!$B$26</x:f>
        <x:v>25.33039838802</x:v>
      </x:c>
      <x:c r="E19" s="21" t="n">
        <x:f>E9*Hypotheses!$B$26</x:f>
        <x:v>27.052865478405366</x:v>
      </x:c>
      <x:c r="F19" s="21" t="n">
        <x:f>F9*Hypotheses!$B$26</x:f>
        <x:v>28.64898454163128</x:v>
      </x:c>
    </x:row>
    <x:row r="20">
      <x:c r="A20" t="str">
        <x:v>BFR opérationnel</x:v>
      </x:c>
      <x:c r="B20" s="21" t="n">
        <x:f>B9*Hypotheses!$B$27</x:f>
        <x:v>54.142275</x:v>
      </x:c>
      <x:c r="C20" s="21" t="n">
        <x:f>C9*Hypotheses!$B$27</x:f>
        <x:v>58.798510650000004</x:v>
      </x:c>
      <x:c r="D20" s="21" t="n">
        <x:f>D9*Hypotheses!$B$27</x:f>
        <x:v>63.32599597005</x:v>
      </x:c>
      <x:c r="E20" s="21" t="n">
        <x:f>E9*Hypotheses!$B$27</x:f>
        <x:v>67.63216369601341</x:v>
      </x:c>
      <x:c r="F20" s="21" t="n">
        <x:f>F9*Hypotheses!$B$27</x:f>
        <x:v>71.6224613540782</x:v>
      </x:c>
    </x:row>
    <x:row r="21">
      <x:c r="A21" t="str">
        <x:v>Variation de BFR</x:v>
      </x:c>
      <x:c r="B21" s="21" t="n">
        <x:f>B20-Historique!D22</x:f>
        <x:v>4.742274999999999</x:v>
      </x:c>
      <x:c r="C21" s="21" t="n">
        <x:f>C20-B20</x:f>
        <x:v>4.656235650000006</x:v>
      </x:c>
      <x:c r="D21" s="21" t="n">
        <x:f>D20-C20</x:f>
        <x:v>4.527485320049998</x:v>
      </x:c>
      <x:c r="E21" s="21" t="n">
        <x:f>E20-D20</x:f>
        <x:v>4.306167725963405</x:v>
      </x:c>
      <x:c r="F21" s="21" t="n">
        <x:f>F20-E20</x:f>
        <x:v>3.99029765806479</x:v>
      </x:c>
    </x:row>
    <x:row r="22">
      <x:c r="B22" s="21"/>
      <x:c r="C22" s="21"/>
      <x:c r="D22" s="21"/>
      <x:c r="E22" s="21"/>
      <x:c r="F22" s="21"/>
    </x:row>
    <x:row r="23">
      <x:c r="A23" s="44" t="str">
        <x:v>FCFF (flux de trésorerie disponible)</x:v>
      </x:c>
      <x:c r="B23" s="45" t="n">
        <x:f>B17+B14-B19-B21</x:f>
        <x:v>28.246089200000007</x:v>
      </x:c>
      <x:c r="C23" s="45" t="n">
        <x:f>C17+C14-C19-C21</x:f>
        <x:v>32.291989752</x:v>
      </x:c>
      <x:c r="D23" s="45" t="n">
        <x:f>D17+D14-D19-D21</x:f>
        <x:v>36.47507568352561</x:v>
      </x:c>
      <x:c r="E23" s="45" t="n">
        <x:f>E17+E14-E19-E21</x:f>
        <x:v>40.77612358417922</x:v>
      </x:c>
      <x:c r="F23" s="45" t="n">
        <x:f>F17+F14-F19-F21</x:f>
        <x:v>45.11960681104122</x:v>
      </x:c>
    </x:row>
  </x:sheetData>
  <x:mergeCells>
    <x:mergeCell ref="A1:J2"/>
    <x:mergeCell ref="A4:G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4" customHeight="1">
      <x:c r="A1" s="3" t="str">
        <x:v>DCF  /  FREE CASH FLOW TO FIRM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10" customHeight="1"/>
    <x:row r="4" ht="24" customHeight="1">
      <x:c r="A4" s="6" t="str">
        <x:v>01  ACTUALISATION DES FLUX  /  M MAD</x:v>
      </x:c>
      <x:c r="B4" s="6"/>
      <x:c r="C4" s="6"/>
      <x:c r="D4" s="6"/>
      <x:c r="E4" s="6"/>
      <x:c r="F4" s="6"/>
      <x:c r="G4" s="6"/>
    </x:row>
    <x:row r="6">
      <x:c r="B6" t="n">
        <x:f>Previsions!B6</x:f>
        <x:v>2026</x:v>
      </x:c>
      <x:c r="C6" t="n">
        <x:f>Previsions!C6</x:f>
        <x:v>2027</x:v>
      </x:c>
      <x:c r="D6" t="n">
        <x:f>Previsions!D6</x:f>
        <x:v>2028</x:v>
      </x:c>
      <x:c r="E6" t="n">
        <x:f>Previsions!E6</x:f>
        <x:v>2029</x:v>
      </x:c>
      <x:c r="F6" t="n">
        <x:f>Previsions!F6</x:f>
        <x:v>2030</x:v>
      </x:c>
    </x:row>
    <x:row r="8">
      <x:c r="A8" t="str">
        <x:v>FCFF projeté</x:v>
      </x:c>
      <x:c r="B8" s="21" t="n">
        <x:f>Previsions!B23</x:f>
        <x:v>28.246089200000007</x:v>
      </x:c>
      <x:c r="C8" s="21" t="n">
        <x:f>Previsions!C23</x:f>
        <x:v>32.291989752</x:v>
      </x:c>
      <x:c r="D8" s="21" t="n">
        <x:f>Previsions!D23</x:f>
        <x:v>36.47507568352561</x:v>
      </x:c>
      <x:c r="E8" s="21" t="n">
        <x:f>Previsions!E23</x:f>
        <x:v>40.77612358417922</x:v>
      </x:c>
      <x:c r="F8" s="21" t="n">
        <x:f>Previsions!F23</x:f>
        <x:v>45.11960681104122</x:v>
      </x:c>
    </x:row>
    <x:row r="9">
      <x:c r="A9" t="str">
        <x:v>Période d'actualisation</x:v>
      </x:c>
      <x:c r="B9" s="21" t="n">
        <x:f>1*Hypotheses!$B$30</x:f>
        <x:v>1</x:v>
      </x:c>
      <x:c r="C9" s="21" t="n">
        <x:f>2*Hypotheses!$B$30</x:f>
        <x:v>2</x:v>
      </x:c>
      <x:c r="D9" s="21" t="n">
        <x:f>3*Hypotheses!$B$30</x:f>
        <x:v>3</x:v>
      </x:c>
      <x:c r="E9" s="21" t="n">
        <x:f>4*Hypotheses!$B$30</x:f>
        <x:v>4</x:v>
      </x:c>
      <x:c r="F9" s="21" t="n">
        <x:f>5*Hypotheses!$B$30</x:f>
        <x:v>5</x:v>
      </x:c>
    </x:row>
    <x:row r="10">
      <x:c r="A10" t="str">
        <x:v>Facteur d'actualisation</x:v>
      </x:c>
      <x:c r="B10" s="26" t="n">
        <x:f>1/(1+Hypotheses!$B$34)^B9</x:f>
        <x:v>0.9184295002494455</x:v>
      </x:c>
      <x:c r="C10" s="26" t="n">
        <x:f>1/(1+Hypotheses!$B$34)^C9</x:f>
        <x:v>0.8435127469284461</x:v>
      </x:c>
      <x:c r="D10" s="26" t="n">
        <x:f>1/(1+Hypotheses!$B$34)^D9</x:f>
        <x:v>0.7747069906155298</x:v>
      </x:c>
      <x:c r="E10" s="26" t="n">
        <x:f>1/(1+Hypotheses!$B$34)^E9</x:f>
        <x:v>0.7115137542307729</x:v>
      </x:c>
      <x:c r="F10" s="26" t="n">
        <x:f>1/(1+Hypotheses!$B$34)^F9</x:f>
        <x:v>0.6534752217187756</x:v>
      </x:c>
    </x:row>
    <x:row r="11">
      <x:c r="A11" s="44" t="str">
        <x:v>Valeur actuelle du FCFF</x:v>
      </x:c>
      <x:c r="B11" s="45" t="n">
        <x:f>B8*B10</x:f>
        <x:v>25.942041587957267</x:v>
      </x:c>
      <x:c r="C11" s="45" t="n">
        <x:f>C8*C10</x:f>
        <x:v>27.238704979494752</x:v>
      </x:c>
      <x:c r="D11" s="45" t="n">
        <x:f>D8*D10</x:f>
        <x:v>28.257496115257815</x:v>
      </x:c>
      <x:c r="E11" s="45" t="n">
        <x:f>E8*E10</x:f>
        <x:v>29.012772774357312</x:v>
      </x:c>
      <x:c r="F11" s="45" t="n">
        <x:f>F8*F10</x:f>
        <x:v>29.484545064709142</x:v>
      </x:c>
    </x:row>
    <x:row r="12">
      <x:c r="B12" s="21"/>
      <x:c r="C12" s="21"/>
      <x:c r="D12" s="21"/>
      <x:c r="E12" s="21"/>
      <x:c r="F12" s="21"/>
    </x:row>
    <x:row r="13">
      <x:c r="B13" s="21"/>
      <x:c r="C13" s="21"/>
      <x:c r="D13" s="21"/>
      <x:c r="E13" s="21"/>
      <x:c r="F13" s="21"/>
    </x:row>
    <x:row r="14">
      <x:c r="A14" t="str">
        <x:v>Somme VA des FCFF</x:v>
      </x:c>
      <x:c r="B14" s="21" t="n">
        <x:f>SUM(B11:F11)</x:f>
        <x:v>139.9355605217763</x:v>
      </x:c>
      <x:c r="C14" s="21"/>
      <x:c r="D14" s="21"/>
      <x:c r="E14" s="21"/>
      <x:c r="F14" s="21"/>
    </x:row>
    <x:row r="15">
      <x:c r="A15" t="str">
        <x:v>FCFF de l'année terminale 2030</x:v>
      </x:c>
      <x:c r="B15" s="21" t="n">
        <x:f>F8</x:f>
        <x:v>45.11960681104122</x:v>
      </x:c>
      <x:c r="C15" s="21"/>
      <x:c r="D15" s="21"/>
      <x:c r="E15" s="21"/>
      <x:c r="F15" s="21"/>
    </x:row>
    <x:row r="16">
      <x:c r="A16" t="str">
        <x:v>Croissance perpétuelle g</x:v>
      </x:c>
      <x:c r="B16" s="12" t="n">
        <x:f>Hypotheses!B20</x:f>
        <x:v>0.025</x:v>
      </x:c>
      <x:c r="C16" s="21"/>
      <x:c r="D16" s="21"/>
      <x:c r="E16" s="21"/>
      <x:c r="F16" s="21"/>
    </x:row>
    <x:row r="17">
      <x:c r="A17" t="str">
        <x:v>WACC</x:v>
      </x:c>
      <x:c r="B17" s="12" t="n">
        <x:f>Hypotheses!B34</x:f>
        <x:v>0.08881520000000001</x:v>
      </x:c>
      <x:c r="C17" s="21"/>
      <x:c r="D17" s="21"/>
      <x:c r="E17" s="21"/>
      <x:c r="F17" s="21"/>
    </x:row>
    <x:row r="18">
      <x:c r="A18" t="str">
        <x:v>Valeur terminale fin 2030</x:v>
      </x:c>
      <x:c r="B18" s="21" t="n">
        <x:f>B15*(1+B16)/(B17-B16)</x:f>
        <x:v>724.7113067312685</x:v>
      </x:c>
      <x:c r="C18" s="21"/>
      <x:c r="D18" s="21"/>
      <x:c r="E18" s="21"/>
      <x:c r="F18" s="21"/>
    </x:row>
    <x:row r="19">
      <x:c r="A19" t="str">
        <x:v>VA de la valeur terminale</x:v>
      </x:c>
      <x:c r="B19" s="21" t="n">
        <x:f>B18*F10</x:f>
        <x:v>473.5808818483192</x:v>
      </x:c>
      <x:c r="C19" s="21"/>
      <x:c r="D19" s="21"/>
      <x:c r="E19" s="21"/>
      <x:c r="F19" s="21"/>
    </x:row>
    <x:row r="20">
      <x:c r="B20" s="21"/>
      <x:c r="C20" s="21"/>
      <x:c r="D20" s="21"/>
      <x:c r="E20" s="21"/>
      <x:c r="F20" s="21"/>
    </x:row>
    <x:row r="21">
      <x:c r="A21" s="44" t="str">
        <x:v>Valeur d'entreprise (EV)</x:v>
      </x:c>
      <x:c r="B21" s="45" t="n">
        <x:f>SUM(B14,B19)</x:f>
        <x:v>613.5164423700955</x:v>
      </x:c>
      <x:c r="C21" s="45"/>
      <x:c r="D21" s="45"/>
      <x:c r="E21" s="45"/>
      <x:c r="F21" s="45"/>
    </x:row>
    <x:row r="22">
      <x:c r="A22" t="str">
        <x:v>Dette nette</x:v>
      </x:c>
      <x:c r="B22" s="21" t="n">
        <x:f>Hypotheses!B28</x:f>
        <x:v>74</x:v>
      </x:c>
      <x:c r="C22" s="21"/>
      <x:c r="D22" s="21"/>
      <x:c r="E22" s="21"/>
      <x:c r="F22" s="21"/>
    </x:row>
    <x:row r="23">
      <x:c r="A23" s="44" t="str">
        <x:v>Valeur des fonds propres</x:v>
      </x:c>
      <x:c r="B23" s="45" t="n">
        <x:f>B21-B22</x:f>
        <x:v>539.5164423700955</x:v>
      </x:c>
      <x:c r="C23" s="45"/>
      <x:c r="D23" s="45"/>
      <x:c r="E23" s="45"/>
      <x:c r="F23" s="45"/>
    </x:row>
    <x:row r="24">
      <x:c r="A24" t="str">
        <x:v>Nombre d'actions (millions)</x:v>
      </x:c>
      <x:c r="B24" s="21" t="n">
        <x:f>Hypotheses!B29</x:f>
        <x:v>6</x:v>
      </x:c>
      <x:c r="C24" s="21"/>
      <x:c r="D24" s="21"/>
      <x:c r="E24" s="21"/>
      <x:c r="F24" s="21"/>
    </x:row>
    <x:row r="25">
      <x:c r="A25" s="44" t="str">
        <x:v>Valeur fondamentale / action (MAD)</x:v>
      </x:c>
      <x:c r="B25" s="45" t="n">
        <x:f>B23/B24</x:f>
        <x:v>89.91940706168259</x:v>
      </x:c>
      <x:c r="C25" s="45"/>
      <x:c r="D25" s="45"/>
      <x:c r="E25" s="45"/>
      <x:c r="F25" s="45"/>
    </x:row>
    <x:row r="26">
      <x:c r="B26" s="21"/>
      <x:c r="C26" s="21"/>
      <x:c r="D26" s="21"/>
      <x:c r="E26" s="21"/>
      <x:c r="F26" s="21"/>
    </x:row>
    <x:row r="27">
      <x:c r="A27" t="str">
        <x:v>Part de la valeur terminale dans EV</x:v>
      </x:c>
      <x:c r="B27" s="12" t="n">
        <x:f>B19/B21</x:f>
        <x:v>0.7719122897812051</x:v>
      </x:c>
      <x:c r="C27" s="21"/>
      <x:c r="D27" s="21"/>
      <x:c r="E27" s="21"/>
      <x:c r="F27" s="21"/>
    </x:row>
  </x:sheetData>
  <x:mergeCells>
    <x:mergeCell ref="A1:J2"/>
    <x:mergeCell ref="A4:G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4" customHeight="1">
      <x:c r="A1" s="3" t="str">
        <x:v>SENSIBILITÉ  /  WACC × CROISSANCE TERMINALE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10" customHeight="1"/>
    <x:row r="4" ht="24" customHeight="1">
      <x:c r="A4" s="6" t="str">
        <x:v>01  VALEUR PAR ACTION  /  MAD PAR ACTION</x:v>
      </x:c>
      <x:c r="B4" s="6"/>
      <x:c r="C4" s="6"/>
      <x:c r="D4" s="6"/>
      <x:c r="E4" s="6"/>
      <x:c r="F4" s="6"/>
      <x:c r="G4" s="6"/>
    </x:row>
    <x:row r="6">
      <x:c r="A6" t="str">
        <x:v>WACC ↓  /  g →</x:v>
      </x:c>
      <x:c r="B6" s="12" t="n">
        <x:f>Hypotheses!$B$20+(0-2)*0.005</x:f>
        <x:v>0.015000000000000001</x:v>
      </x:c>
      <x:c r="C6" s="12" t="n">
        <x:f>Hypotheses!$B$20+(1-2)*0.005</x:f>
        <x:v>0.02</x:v>
      </x:c>
      <x:c r="D6" s="12" t="n">
        <x:f>Hypotheses!$B$20+(2-2)*0.005</x:f>
        <x:v>0.025</x:v>
      </x:c>
      <x:c r="E6" s="12" t="n">
        <x:f>Hypotheses!$B$20+(3-2)*0.005</x:f>
        <x:v>0.030000000000000002</x:v>
      </x:c>
      <x:c r="F6" s="12" t="n">
        <x:f>Hypotheses!$B$20+(4-2)*0.005</x:f>
        <x:v>0.035</x:v>
      </x:c>
    </x:row>
    <x:row r="7">
      <x:c r="A7" s="12" t="n">
        <x:f>Hypotheses!$B$34+(0-2)*0.01</x:f>
        <x:v>0.0688152</x:v>
      </x:c>
      <x:c r="B7" s="21" t="n">
        <x:f>(SUMPRODUCT(DCF!$B$8:$F$8,1/(1+$A7)^DCF!$B$9:$F$9)+(DCF!$F$8*(1+B$6)/($A7-B$6))/(1+$A7)^DCF!$F$9-Hypotheses!$B$28)/Hypotheses!$B$29</x:f>
        <x:v>114.04673663815701</x:v>
      </x:c>
      <x:c r="C7" s="21" t="n">
        <x:f>(SUMPRODUCT(DCF!$B$8:$F$8,1/(1+$A7)^DCF!$B$9:$F$9)+(DCF!$F$8*(1+C$6)/($A7-C$6))/(1+$A7)^DCF!$F$9-Hypotheses!$B$28)/Hypotheses!$B$29</x:f>
        <x:v>125.01438563317895</x:v>
      </x:c>
      <x:c r="D7" s="21" t="n">
        <x:f>(SUMPRODUCT(DCF!$B$8:$F$8,1/(1+$A7)^DCF!$B$9:$F$9)+(DCF!$F$8*(1+D$6)/($A7-D$6))/(1+$A7)^DCF!$F$9-Hypotheses!$B$28)/Hypotheses!$B$29</x:f>
        <x:v>138.48519540232073</x:v>
      </x:c>
      <x:c r="E7" s="21" t="n">
        <x:f>(SUMPRODUCT(DCF!$B$8:$F$8,1/(1+$A7)^DCF!$B$9:$F$9)+(DCF!$F$8*(1+E$6)/($A7-E$6))/(1+$A7)^DCF!$F$9-Hypotheses!$B$28)/Hypotheses!$B$29</x:f>
        <x:v>155.42650378261024</x:v>
      </x:c>
      <x:c r="F7" s="21" t="n">
        <x:f>(SUMPRODUCT(DCF!$B$8:$F$8,1/(1+$A7)^DCF!$B$9:$F$9)+(DCF!$F$8*(1+F$6)/($A7-F$6))/(1+$A7)^DCF!$F$9-Hypotheses!$B$28)/Hypotheses!$B$29</x:f>
        <x:v>177.37778057364088</x:v>
      </x:c>
    </x:row>
    <x:row r="8">
      <x:c r="A8" s="12" t="n">
        <x:f>Hypotheses!$B$34+(1-2)*0.01</x:f>
        <x:v>0.07881520000000002</x:v>
      </x:c>
      <x:c r="B8" s="21" t="n">
        <x:f>(SUMPRODUCT(DCF!$B$8:$F$8,1/(1+$A8)^DCF!$B$9:$F$9)+(DCF!$F$8*(1+B$6)/($A8-B$6))/(1+$A8)^DCF!$F$9-Hypotheses!$B$28)/Hypotheses!$B$29</x:f>
        <x:v>93.51026164534214</x:v>
      </x:c>
      <x:c r="C8" s="21" t="n">
        <x:f>(SUMPRODUCT(DCF!$B$8:$F$8,1/(1+$A8)^DCF!$B$9:$F$9)+(DCF!$F$8*(1+C$6)/($A8-C$6))/(1+$A8)^DCF!$F$9-Hypotheses!$B$28)/Hypotheses!$B$29</x:f>
        <x:v>100.90600990811357</x:v>
      </x:c>
      <x:c r="D8" s="21" t="n">
        <x:f>(SUMPRODUCT(DCF!$B$8:$F$8,1/(1+$A8)^DCF!$B$9:$F$9)+(DCF!$F$8*(1+D$6)/($A8-D$6))/(1+$A8)^DCF!$F$9-Hypotheses!$B$28)/Hypotheses!$B$29</x:f>
        <x:v>109.67604429502306</x:v>
      </x:c>
      <x:c r="E8" s="21" t="n">
        <x:f>(SUMPRODUCT(DCF!$B$8:$F$8,1/(1+$A8)^DCF!$B$9:$F$9)+(DCF!$F$8*(1+E$6)/($A8-E$6))/(1+$A8)^DCF!$F$9-Hypotheses!$B$28)/Hypotheses!$B$29</x:f>
        <x:v>120.2426572859144</x:v>
      </x:c>
      <x:c r="F8" s="21" t="n">
        <x:f>(SUMPRODUCT(DCF!$B$8:$F$8,1/(1+$A8)^DCF!$B$9:$F$9)+(DCF!$F$8*(1+F$6)/($A8-F$6))/(1+$A8)^DCF!$F$9-Hypotheses!$B$28)/Hypotheses!$B$29</x:f>
        <x:v>133.2209020828665</x:v>
      </x:c>
    </x:row>
    <x:row r="9">
      <x:c r="A9" s="12" t="n">
        <x:f>Hypotheses!$B$34+(2-2)*0.01</x:f>
        <x:v>0.08881520000000001</x:v>
      </x:c>
      <x:c r="B9" s="21" t="n">
        <x:f>(SUMPRODUCT(DCF!$B$8:$F$8,1/(1+$A9)^DCF!$B$9:$F$9)+(DCF!$F$8*(1+B$6)/($A9-B$6))/(1+$A9)^DCF!$F$9-Hypotheses!$B$28)/Hypotheses!$B$29</x:f>
        <x:v>78.56073868188572</x:v>
      </x:c>
      <x:c r="C9" s="21" t="n">
        <x:f>(SUMPRODUCT(DCF!$B$8:$F$8,1/(1+$A9)^DCF!$B$9:$F$9)+(DCF!$F$8*(1+C$6)/($A9-C$6))/(1+$A9)^DCF!$F$9-Hypotheses!$B$28)/Hypotheses!$B$29</x:f>
        <x:v>83.82742172858481</x:v>
      </x:c>
      <x:c r="D9" s="28" t="n">
        <x:f>(SUMPRODUCT(DCF!$B$8:$F$8,1/(1+$A9)^DCF!$B$9:$F$9)+(DCF!$F$8*(1+D$6)/($A9-D$6))/(1+$A9)^DCF!$F$9-Hypotheses!$B$28)/Hypotheses!$B$29</x:f>
        <x:v>89.91940706168259</x:v>
      </x:c>
      <x:c r="E9" s="21" t="n">
        <x:f>(SUMPRODUCT(DCF!$B$8:$F$8,1/(1+$A9)^DCF!$B$9:$F$9)+(DCF!$F$8*(1+E$6)/($A9-E$6))/(1+$A9)^DCF!$F$9-Hypotheses!$B$28)/Hypotheses!$B$29</x:f>
        <x:v>97.04717656844599</x:v>
      </x:c>
      <x:c r="F9" s="21" t="n">
        <x:f>(SUMPRODUCT(DCF!$B$8:$F$8,1/(1+$A9)^DCF!$B$9:$F$9)+(DCF!$F$8*(1+F$6)/($A9-F$6))/(1+$A9)^DCF!$F$9-Hypotheses!$B$28)/Hypotheses!$B$29</x:f>
        <x:v>105.49943609043991</x:v>
      </x:c>
    </x:row>
    <x:row r="10">
      <x:c r="A10" s="12" t="n">
        <x:f>Hypotheses!$B$34+(3-2)*0.01</x:f>
        <x:v>0.0988152</x:v>
      </x:c>
      <x:c r="B10" s="21" t="n">
        <x:f>(SUMPRODUCT(DCF!$B$8:$F$8,1/(1+$A10)^DCF!$B$9:$F$9)+(DCF!$F$8*(1+B$6)/($A10-B$6))/(1+$A10)^DCF!$F$9-Hypotheses!$B$28)/Hypotheses!$B$29</x:f>
        <x:v>67.19749522793107</x:v>
      </x:c>
      <x:c r="C10" s="21" t="n">
        <x:f>(SUMPRODUCT(DCF!$B$8:$F$8,1/(1+$A10)^DCF!$B$9:$F$9)+(DCF!$F$8*(1+C$6)/($A10-C$6))/(1+$A10)^DCF!$F$9-Hypotheses!$B$28)/Hypotheses!$B$29</x:f>
        <x:v>71.10188043852828</x:v>
      </x:c>
      <x:c r="D10" s="21" t="n">
        <x:f>(SUMPRODUCT(DCF!$B$8:$F$8,1/(1+$A10)^DCF!$B$9:$F$9)+(DCF!$F$8*(1+D$6)/($A10-D$6))/(1+$A10)^DCF!$F$9-Hypotheses!$B$28)/Hypotheses!$B$29</x:f>
        <x:v>75.53520619397221</x:v>
      </x:c>
      <x:c r="E10" s="21" t="n">
        <x:f>(SUMPRODUCT(DCF!$B$8:$F$8,1/(1+$A10)^DCF!$B$9:$F$9)+(DCF!$F$8*(1+E$6)/($A10-E$6))/(1+$A10)^DCF!$F$9-Hypotheses!$B$28)/Hypotheses!$B$29</x:f>
        <x:v>80.61276836163961</x:v>
      </x:c>
      <x:c r="F10" s="21" t="n">
        <x:f>(SUMPRODUCT(DCF!$B$8:$F$8,1/(1+$A10)^DCF!$B$9:$F$9)+(DCF!$F$8*(1+F$6)/($A10-F$6))/(1+$A10)^DCF!$F$9-Hypotheses!$B$28)/Hypotheses!$B$29</x:f>
        <x:v>86.48599710524304</x:v>
      </x:c>
    </x:row>
    <x:row r="11">
      <x:c r="A11" s="12" t="n">
        <x:f>Hypotheses!$B$34+(4-2)*0.01</x:f>
        <x:v>0.10881520000000001</x:v>
      </x:c>
      <x:c r="B11" s="21" t="n">
        <x:f>(SUMPRODUCT(DCF!$B$8:$F$8,1/(1+$A11)^DCF!$B$9:$F$9)+(DCF!$F$8*(1+B$6)/($A11-B$6))/(1+$A11)^DCF!$F$9-Hypotheses!$B$28)/Hypotheses!$B$29</x:f>
        <x:v>58.27293299773163</x:v>
      </x:c>
      <x:c r="C11" s="21" t="n">
        <x:f>(SUMPRODUCT(DCF!$B$8:$F$8,1/(1+$A11)^DCF!$B$9:$F$9)+(DCF!$F$8*(1+C$6)/($A11-C$6))/(1+$A11)^DCF!$F$9-Hypotheses!$B$28)/Hypotheses!$B$29</x:f>
        <x:v>61.2582253641267</x:v>
      </x:c>
      <x:c r="D11" s="21" t="n">
        <x:f>(SUMPRODUCT(DCF!$B$8:$F$8,1/(1+$A11)^DCF!$B$9:$F$9)+(DCF!$F$8*(1+D$6)/($A11-D$6))/(1+$A11)^DCF!$F$9-Hypotheses!$B$28)/Hypotheses!$B$29</x:f>
        <x:v>64.59969326507814</x:v>
      </x:c>
      <x:c r="E11" s="21" t="n">
        <x:f>(SUMPRODUCT(DCF!$B$8:$F$8,1/(1+$A11)^DCF!$B$9:$F$9)+(DCF!$F$8*(1+E$6)/($A11-E$6))/(1+$A11)^DCF!$F$9-Hypotheses!$B$28)/Hypotheses!$B$29</x:f>
        <x:v>68.36512353635304</x:v>
      </x:c>
      <x:c r="F11" s="21" t="n">
        <x:f>(SUMPRODUCT(DCF!$B$8:$F$8,1/(1+$A11)^DCF!$B$9:$F$9)+(DCF!$F$8*(1+F$6)/($A11-F$6))/(1+$A11)^DCF!$F$9-Hypotheses!$B$28)/Hypotheses!$B$29</x:f>
        <x:v>72.64066964708574</x:v>
      </x:c>
    </x:row>
    <x:row r="14">
      <x:c r="A14" t="str">
        <x:v>Au centre (D9) : scénario de base. Chaque cellule recalcule les flux à son WACC.</x:v>
      </x:c>
    </x:row>
    <x:row r="16">
      <x:c r="A16" t="str">
        <x:v>Important : WACC doit rester strictement supérieur à g.</x:v>
      </x:c>
    </x:row>
  </x:sheetData>
  <x:mergeCells>
    <x:mergeCell ref="A1:J2"/>
    <x:mergeCell ref="A4:G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9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4" customHeight="1">
      <x:c r="A1" s="3" t="str">
        <x:v>NOTICE  /  MÉTHODOLOGIE ET LIMITES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10" customHeight="1"/>
    <x:row r="4" ht="24" customHeight="1">
      <x:c r="A4" s="6" t="str">
        <x:v>PÉRIMÈTRE ET MODE D'EMPLOI</x:v>
      </x:c>
      <x:c r="B4" s="6"/>
      <x:c r="C4" s="6"/>
      <x:c r="D4" s="6"/>
      <x:c r="E4" s="6"/>
      <x:c r="F4" s="6"/>
      <x:c r="G4" s="6"/>
      <x:c r="H4" s="6"/>
    </x:row>
    <x:row r="6">
      <x:c r="A6" t="str">
        <x:v>Objet</x:v>
      </x:c>
      <x:c r="B6" s="38" t="str">
        <x:v>Valoriser une société industrielle marocaine fictive à fin 2025.</x:v>
      </x:c>
    </x:row>
    <x:row r="7">
      <x:c r="A7" t="str">
        <x:v>Autrice / portfolio</x:v>
      </x:c>
      <x:c r="B7" s="38" t="str">
        <x:v>Khadija Machghoul — Étude 01 / Modèle de valorisation.</x:v>
      </x:c>
    </x:row>
    <x:row r="8">
      <x:c r="A8" t="str">
        <x:v>Source des données</x:v>
      </x:c>
      <x:c r="B8" s="38" t="str">
        <x:v>Génération pédagogique fictive : aucun chiffre réel, aucune entreprise cotée.</x:v>
      </x:c>
    </x:row>
    <x:row r="9">
      <x:c r="A9" t="str">
        <x:v>Période historique</x:v>
      </x:c>
      <x:c r="B9" s="38" t="str">
        <x:v>2023–2025 : compte de résultat opérationnel et postes de flux simplifiés.</x:v>
      </x:c>
    </x:row>
    <x:row r="10">
      <x:c r="A10" t="str">
        <x:v>Période prévisionnelle</x:v>
      </x:c>
      <x:c r="B10" s="38" t="str">
        <x:v>2026–2030 : prévisions détaillées, puis croissance perpétuelle.</x:v>
      </x:c>
    </x:row>
    <x:row r="11">
      <x:c r="A11" t="str">
        <x:v>Méthode</x:v>
      </x:c>
      <x:c r="B11" s="38" t="str">
        <x:v>DCF unlevered : flux FCFF actualisés au WACC.</x:v>
      </x:c>
    </x:row>
    <x:row r="12">
      <x:c r="A12" t="str">
        <x:v>WACC</x:v>
      </x:c>
      <x:c r="B12" s="38" t="str">
        <x:v>CAPM sur fonds propres, dette après impôt, poids de capital hypothétiques.</x:v>
      </x:c>
    </x:row>
    <x:row r="13">
      <x:c r="A13" t="str">
        <x:v>Convention flux</x:v>
      </x:c>
      <x:c r="B13" s="38" t="str">
        <x:v>Flux de fin d'année, actualisation en périodes annuelles.</x:v>
      </x:c>
    </x:row>
    <x:row r="14">
      <x:c r="A14" t="str">
        <x:v>Dette nette</x:v>
      </x:c>
      <x:c r="B14" s="38" t="str">
        <x:v>Dette moins trésorerie : montant exogène fictif.</x:v>
      </x:c>
    </x:row>
    <x:row r="15">
      <x:c r="A15" t="str">
        <x:v>Lecture de la sensibilité</x:v>
      </x:c>
      <x:c r="B15" s="38" t="str">
        <x:v>Impact simultané WACC et croissance terminale sur valeur par action.</x:v>
      </x:c>
    </x:row>
    <x:row r="16">
      <x:c r="A16" t="str">
        <x:v>Modification</x:v>
      </x:c>
      <x:c r="B16" s="38" t="str">
        <x:v>Modifier uniquement les cellules bleues sur fond jaune de 'Hypotheses'.</x:v>
      </x:c>
    </x:row>
    <x:row r="17">
      <x:c r="A17" t="str">
        <x:v>Contrôle</x:v>
      </x:c>
      <x:c r="B17" s="38" t="str">
        <x:v>Vérifier que WACC &gt; g et comparer la valeur terminale au total EV.</x:v>
      </x:c>
    </x:row>
    <x:row r="18">
      <x:c r="A18" t="str">
        <x:v>Limite</x:v>
      </x:c>
      <x:c r="B18" s="38" t="str">
        <x:v>Pas d'audit historique, pas de comparables, pas de scénarios macro documentés.</x:v>
      </x:c>
    </x:row>
    <x:row r="19">
      <x:c r="A19" t="str">
        <x:v>Mention</x:v>
      </x:c>
      <x:c r="B19" s="38" t="str">
        <x:v>Projet personnel d'illustration — ne constitue pas une évaluation réelle.</x:v>
      </x:c>
    </x:row>
    <x:row r="20">
      <x:c r="B20" s="38"/>
    </x:row>
  </x:sheetData>
  <x:mergeCells>
    <x:mergeCell ref="A1:J2"/>
    <x:mergeCell ref="A4:H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59" hidden="0" customWidth="1"/>
    <x:col min="2" max="2" width="20" hidden="0" customWidth="1"/>
    <x:col min="3" max="3" width="20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7" customHeight="1">
      <x:c r="A1" s="50" t="str">
        <x:v>ÉTUDE 01  |  MATRICE DES SCÉNARIOS</x:v>
      </x:c>
      <x:c r="B1" s="50"/>
      <x:c r="C1" s="50"/>
      <x:c r="D1" s="50"/>
    </x:row>
    <x:row r="2" ht="27" customHeight="1">
      <x:c r="A2" s="50"/>
      <x:c r="B2" s="50"/>
      <x:c r="C2" s="50"/>
      <x:c r="D2" s="50"/>
    </x:row>
    <x:row r="3" ht="21" customHeight="1"/>
    <x:row r="4" ht="28" customHeight="1">
      <x:c r="A4" s="52" t="str">
        <x:v>Hypothèse / levier</x:v>
      </x:c>
      <x:c r="B4" s="52" t="str">
        <x:v>Pessimiste</x:v>
      </x:c>
      <x:c r="C4" s="52" t="str">
        <x:v>Central</x:v>
      </x:c>
      <x:c r="D4" s="52" t="str">
        <x:v>Optimiste</x:v>
      </x:c>
    </x:row>
    <x:row r="5" ht="21" customHeight="1"/>
    <x:row r="6" ht="21" customHeight="1">
      <x:c r="A6" t="str">
        <x:v>Croissance CA initiale (2026)</x:v>
      </x:c>
      <x:c r="B6" s="57" t="n">
        <x:v>0.045</x:v>
      </x:c>
      <x:c r="C6" s="58" t="n">
        <x:f>Hypotheses!B21</x:f>
        <x:v>0.095</x:v>
      </x:c>
      <x:c r="D6" s="57" t="n">
        <x:v>0.125</x:v>
      </x:c>
    </x:row>
    <x:row r="7" ht="21" customHeight="1">
      <x:c r="A7" t="str">
        <x:v>Décroissance annuelle croissance</x:v>
      </x:c>
      <x:c r="B7" s="57" t="n">
        <x:v>0.012</x:v>
      </x:c>
      <x:c r="C7" s="58" t="n">
        <x:f>Hypotheses!B22</x:f>
        <x:v>0.009</x:v>
      </x:c>
      <x:c r="D7" s="57" t="n">
        <x:v>0.005</x:v>
      </x:c>
    </x:row>
    <x:row r="8" ht="21" customHeight="1">
      <x:c r="A8" t="str">
        <x:v>Marge EBITDA initiale (2026)</x:v>
      </x:c>
      <x:c r="B8" s="57" t="n">
        <x:v>0.178</x:v>
      </x:c>
      <x:c r="C8" s="58" t="n">
        <x:f>Hypotheses!B23</x:f>
        <x:v>0.197</x:v>
      </x:c>
      <x:c r="D8" s="57" t="n">
        <x:v>0.21</x:v>
      </x:c>
    </x:row>
    <x:row r="9" ht="21" customHeight="1">
      <x:c r="A9" t="str">
        <x:v>Amélioration marge annuelle</x:v>
      </x:c>
      <x:c r="B9" s="57" t="n">
        <x:v>0.001</x:v>
      </x:c>
      <x:c r="C9" s="58" t="n">
        <x:f>Hypotheses!B24</x:f>
        <x:v>0.004</x:v>
      </x:c>
      <x:c r="D9" s="57" t="n">
        <x:v>0.006</x:v>
      </x:c>
    </x:row>
    <x:row r="10" ht="21" customHeight="1">
      <x:c r="A10" t="str">
        <x:v>D&amp;A / chiffre d’affaires</x:v>
      </x:c>
      <x:c r="B10" s="57" t="n">
        <x:v>0.045</x:v>
      </x:c>
      <x:c r="C10" s="58" t="n">
        <x:f>Hypotheses!B25</x:f>
        <x:v>0.041</x:v>
      </x:c>
      <x:c r="D10" s="57" t="n">
        <x:v>0.038</x:v>
      </x:c>
    </x:row>
    <x:row r="11" ht="21" customHeight="1">
      <x:c r="A11" t="str">
        <x:v>CAPEX / chiffre d’affaires</x:v>
      </x:c>
      <x:c r="B11" s="57" t="n">
        <x:v>0.073</x:v>
      </x:c>
      <x:c r="C11" s="58" t="n">
        <x:f>Hypotheses!B26</x:f>
        <x:v>0.062</x:v>
      </x:c>
      <x:c r="D11" s="57" t="n">
        <x:v>0.058</x:v>
      </x:c>
    </x:row>
    <x:row r="12" ht="21" customHeight="1">
      <x:c r="A12" t="str">
        <x:v>BFR / chiffre d’affaires</x:v>
      </x:c>
      <x:c r="B12" s="57" t="n">
        <x:v>0.175</x:v>
      </x:c>
      <x:c r="C12" s="58" t="n">
        <x:f>Hypotheses!B27</x:f>
        <x:v>0.155</x:v>
      </x:c>
      <x:c r="D12" s="57" t="n">
        <x:v>0.145</x:v>
      </x:c>
    </x:row>
    <x:row r="13" ht="21" customHeight="1">
      <x:c r="A13" t="str">
        <x:v>Taux d’IS</x:v>
      </x:c>
      <x:c r="B13" s="57" t="n">
        <x:v>0.26</x:v>
      </x:c>
      <x:c r="C13" s="58" t="n">
        <x:f>Hypotheses!B16</x:f>
        <x:v>0.26</x:v>
      </x:c>
      <x:c r="D13" s="57" t="n">
        <x:v>0.26</x:v>
      </x:c>
    </x:row>
    <x:row r="14" ht="21" customHeight="1">
      <x:c r="A14" t="str">
        <x:v>WACC retenu</x:v>
      </x:c>
      <x:c r="B14" s="57" t="n">
        <x:v>0.105</x:v>
      </x:c>
      <x:c r="C14" s="58" t="n">
        <x:f>Hypotheses!B34</x:f>
        <x:v>0.08881520000000001</x:v>
      </x:c>
      <x:c r="D14" s="57" t="n">
        <x:v>0.078</x:v>
      </x:c>
    </x:row>
    <x:row r="15" ht="21" customHeight="1">
      <x:c r="A15" t="str">
        <x:v>Croissance perpétuelle (g)</x:v>
      </x:c>
      <x:c r="B15" s="57" t="n">
        <x:v>0.018</x:v>
      </x:c>
      <x:c r="C15" s="58" t="n">
        <x:f>Hypotheses!B20</x:f>
        <x:v>0.025</x:v>
      </x:c>
      <x:c r="D15" s="57" t="n">
        <x:v>0.03</x:v>
      </x:c>
    </x:row>
    <x:row r="16" ht="21" customHeight="1">
      <x:c r="A16" t="str">
        <x:v>Dette financière nette (M MAD)</x:v>
      </x:c>
      <x:c r="B16" s="59" t="n">
        <x:v>74</x:v>
      </x:c>
      <x:c r="C16" s="60" t="n">
        <x:f>Hypotheses!B28</x:f>
        <x:v>74</x:v>
      </x:c>
      <x:c r="D16" s="59" t="n">
        <x:v>74</x:v>
      </x:c>
    </x:row>
    <x:row r="17" ht="21" customHeight="1">
      <x:c r="A17" t="str">
        <x:v>Nombre actions (millions)</x:v>
      </x:c>
      <x:c r="B17" s="59" t="n">
        <x:v>6</x:v>
      </x:c>
      <x:c r="C17" s="60" t="n">
        <x:f>Hypotheses!B29</x:f>
        <x:v>6</x:v>
      </x:c>
      <x:c r="D17" s="59" t="n">
        <x:v>6</x:v>
      </x:c>
    </x:row>
    <x:row r="18" ht="21" customHeight="1">
      <x:c r="A18" t="str">
        <x:v>CA de référence 2025 (M MAD)</x:v>
      </x:c>
      <x:c r="B18" s="56" t="n">
        <x:f>Historique!D8</x:f>
        <x:v>319</x:v>
      </x:c>
      <x:c r="C18" s="56" t="n">
        <x:f>Historique!D8</x:f>
        <x:v>319</x:v>
      </x:c>
      <x:c r="D18" s="56" t="n">
        <x:f>Historique!D8</x:f>
        <x:v>319</x:v>
      </x:c>
    </x:row>
    <x:row r="19" ht="21" customHeight="1">
      <x:c r="A19" t="str">
        <x:v>BFR de référence 2025 (M MAD)</x:v>
      </x:c>
      <x:c r="B19" s="56" t="n">
        <x:f>Historique!D22</x:f>
        <x:v>49.4</x:v>
      </x:c>
      <x:c r="C19" s="56" t="n">
        <x:f>Historique!D22</x:f>
        <x:v>49.4</x:v>
      </x:c>
      <x:c r="D19" s="56" t="n">
        <x:f>Historique!D22</x:f>
        <x:v>49.4</x:v>
      </x:c>
    </x:row>
    <x:row r="20" ht="21" customHeight="1"/>
    <x:row r="21" ht="21" customHeight="1"/>
    <x:row r="22" ht="27" customHeight="1">
      <x:c r="A22" s="50" t="str">
        <x:v>MÉTHODOLOGIE DES SCÉNARIOS</x:v>
      </x:c>
      <x:c r="B22" s="50"/>
      <x:c r="C22" s="50"/>
      <x:c r="D22" s="50"/>
    </x:row>
    <x:row r="23" ht="21" customHeight="1"/>
    <x:row r="24" ht="21" customHeight="1">
      <x:c r="A24" t="str">
        <x:v>Pessimiste : croissance réduite, investissement et BFR accrus, risque élevé.</x:v>
      </x:c>
    </x:row>
    <x:row r="25" ht="21" customHeight="1"/>
    <x:row r="26" ht="21" customHeight="1">
      <x:c r="A26" t="str">
        <x:v>Central : reprend exactement les hypothèses du modèle initial.</x:v>
      </x:c>
    </x:row>
    <x:row r="27" ht="21" customHeight="1"/>
    <x:row r="28" ht="21" customHeight="1">
      <x:c r="A28" t="str">
        <x:v>Optimiste : croissance supérieure, marges renforcées, coût du capital moindre.</x:v>
      </x:c>
    </x:row>
    <x:row r="29" ht="21" customHeight="1"/>
    <x:row r="30" ht="21" customHeight="1">
      <x:c r="A30" t="str">
        <x:v>Toutes les hypothèses sont fictives et modifiables dans cette feuille.</x:v>
      </x:c>
    </x:row>
    <x:row r="31" ht="21" customHeight="1"/>
    <x:row r="32" ht="21" customHeight="1">
      <x:c r="A32" t="str">
        <x:v>Contrôle : WACC supérieur au taux de croissance perpétuelle pour chaque cas.</x:v>
      </x:c>
    </x:row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</x:sheetData>
  <x:mergeCells>
    <x:mergeCell ref="A1:D2"/>
    <x:mergeCell ref="A22:D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7" customHeight="1">
      <x:c r="A1" s="50" t="str">
        <x:v>PROJECTIONS FINANCIÈRES  |  PESSIMISTE</x:v>
      </x:c>
      <x:c r="B1" s="50"/>
      <x:c r="C1" s="50"/>
      <x:c r="D1" s="50"/>
      <x:c r="E1" s="50"/>
      <x:c r="F1" s="50"/>
    </x:row>
    <x:row r="2" ht="27" customHeight="1">
      <x:c r="A2" s="50"/>
      <x:c r="B2" s="50"/>
      <x:c r="C2" s="50"/>
      <x:c r="D2" s="50"/>
      <x:c r="E2" s="50"/>
      <x:c r="F2" s="50"/>
    </x:row>
    <x:row r="3" ht="21" customHeight="1"/>
    <x:row r="4" ht="21" customHeight="1">
      <x:c r="A4" s="52" t="str">
        <x:v>M MAD / exercices</x:v>
      </x:c>
      <x:c r="B4" s="52" t="n">
        <x:v>2026</x:v>
      </x:c>
      <x:c r="C4" s="52" t="n">
        <x:v>2027</x:v>
      </x:c>
      <x:c r="D4" s="52" t="n">
        <x:v>2028</x:v>
      </x:c>
      <x:c r="E4" s="52" t="n">
        <x:v>2029</x:v>
      </x:c>
      <x:c r="F4" s="52" t="n">
        <x:v>2030</x:v>
      </x:c>
    </x:row>
    <x:row r="5" ht="21" customHeight="1"/>
    <x:row r="6" ht="21" customHeight="1">
      <x:c r="A6" t="str">
        <x:v>Croissance CA</x:v>
      </x:c>
      <x:c r="B6" s="65" t="n">
        <x:f>MAX(0,Scenarios!B6-0*Scenarios!B7)</x:f>
        <x:v>0.045</x:v>
      </x:c>
      <x:c r="C6" s="65" t="n">
        <x:f>MAX(0,Scenarios!B6-1*Scenarios!B7)</x:f>
        <x:v>0.033</x:v>
      </x:c>
      <x:c r="D6" s="65" t="n">
        <x:f>MAX(0,Scenarios!B6-2*Scenarios!B7)</x:f>
        <x:v>0.020999999999999998</x:v>
      </x:c>
      <x:c r="E6" s="65" t="n">
        <x:f>MAX(0,Scenarios!B6-3*Scenarios!B7)</x:f>
        <x:v>0.008999999999999994</x:v>
      </x:c>
      <x:c r="F6" s="65" t="n">
        <x:f>MAX(0,Scenarios!B6-4*Scenarios!B7)</x:f>
        <x:v>0</x:v>
      </x:c>
    </x:row>
    <x:row r="7" ht="21" customHeight="1">
      <x:c r="A7" t="str">
        <x:v>Chiffre d’affaires</x:v>
      </x:c>
      <x:c r="B7" s="66" t="n">
        <x:f>Scenarios!B18*(1+B6)</x:f>
        <x:v>333.35499999999996</x:v>
      </x:c>
      <x:c r="C7" s="66" t="n">
        <x:f>B7*(1+C6)</x:f>
        <x:v>344.3557149999999</x:v>
      </x:c>
      <x:c r="D7" s="66" t="n">
        <x:f>C7*(1+D6)</x:f>
        <x:v>351.5871850149999</x:v>
      </x:c>
      <x:c r="E7" s="66" t="n">
        <x:f>D7*(1+E6)</x:f>
        <x:v>354.75146968013485</x:v>
      </x:c>
      <x:c r="F7" s="66" t="n">
        <x:f>E7*(1+F6)</x:f>
        <x:v>354.75146968013485</x:v>
      </x:c>
    </x:row>
    <x:row r="8" ht="21" customHeight="1">
      <x:c r="A8" t="str">
        <x:v>Marge EBITDA</x:v>
      </x:c>
      <x:c r="B8" s="65" t="n">
        <x:f>Scenarios!B8+0*Scenarios!B9</x:f>
        <x:v>0.178</x:v>
      </x:c>
      <x:c r="C8" s="65" t="n">
        <x:f>Scenarios!B8+1*Scenarios!B9</x:f>
        <x:v>0.179</x:v>
      </x:c>
      <x:c r="D8" s="65" t="n">
        <x:f>Scenarios!B8+2*Scenarios!B9</x:f>
        <x:v>0.18</x:v>
      </x:c>
      <x:c r="E8" s="65" t="n">
        <x:f>Scenarios!B8+3*Scenarios!B9</x:f>
        <x:v>0.181</x:v>
      </x:c>
      <x:c r="F8" s="65" t="n">
        <x:f>Scenarios!B8+4*Scenarios!B9</x:f>
        <x:v>0.182</x:v>
      </x:c>
    </x:row>
    <x:row r="9" ht="21" customHeight="1">
      <x:c r="A9" t="str">
        <x:v>EBITDA</x:v>
      </x:c>
      <x:c r="B9" s="66" t="n">
        <x:f>B7*B8</x:f>
        <x:v>59.33718999999999</x:v>
      </x:c>
      <x:c r="C9" s="66" t="n">
        <x:f>C7*C8</x:f>
        <x:v>61.63967298499998</x:v>
      </x:c>
      <x:c r="D9" s="66" t="n">
        <x:f>D7*D8</x:f>
        <x:v>63.285693302699976</x:v>
      </x:c>
      <x:c r="E9" s="66" t="n">
        <x:f>E7*E8</x:f>
        <x:v>64.2100160121044</x:v>
      </x:c>
      <x:c r="F9" s="66" t="n">
        <x:f>F7*F8</x:f>
        <x:v>64.56476748178454</x:v>
      </x:c>
    </x:row>
    <x:row r="10" ht="21" customHeight="1">
      <x:c r="A10" t="str">
        <x:v>D&amp;A</x:v>
      </x:c>
      <x:c r="B10" s="66" t="n">
        <x:f>B7*Scenarios!B10</x:f>
        <x:v>15.000974999999997</x:v>
      </x:c>
      <x:c r="C10" s="66" t="n">
        <x:f>C7*Scenarios!B10</x:f>
        <x:v>15.496007174999995</x:v>
      </x:c>
      <x:c r="D10" s="66" t="n">
        <x:f>D7*Scenarios!B10</x:f>
        <x:v>15.821423325674994</x:v>
      </x:c>
      <x:c r="E10" s="66" t="n">
        <x:f>E7*Scenarios!B10</x:f>
        <x:v>15.963816135606068</x:v>
      </x:c>
      <x:c r="F10" s="66" t="n">
        <x:f>F7*Scenarios!B10</x:f>
        <x:v>15.963816135606068</x:v>
      </x:c>
    </x:row>
    <x:row r="11" ht="21" customHeight="1">
      <x:c r="A11" t="str">
        <x:v>EBIT</x:v>
      </x:c>
      <x:c r="B11" s="66" t="n">
        <x:f>B9-B10</x:f>
        <x:v>44.336214999999996</x:v>
      </x:c>
      <x:c r="C11" s="66" t="n">
        <x:f>C9-C10</x:f>
        <x:v>46.14366580999999</x:v>
      </x:c>
      <x:c r="D11" s="66" t="n">
        <x:f>D9-D10</x:f>
        <x:v>47.46426997702498</x:v>
      </x:c>
      <x:c r="E11" s="66" t="n">
        <x:f>E9-E10</x:f>
        <x:v>48.24619987649834</x:v>
      </x:c>
      <x:c r="F11" s="66" t="n">
        <x:f>F9-F10</x:f>
        <x:v>48.600951346178476</x:v>
      </x:c>
    </x:row>
    <x:row r="12" ht="21" customHeight="1">
      <x:c r="A12" t="str">
        <x:v>IS théorique</x:v>
      </x:c>
      <x:c r="B12" s="66" t="n">
        <x:f>MAX(0,B11)*Scenarios!B13</x:f>
        <x:v>11.5274159</x:v>
      </x:c>
      <x:c r="C12" s="66" t="n">
        <x:f>MAX(0,C11)*Scenarios!B13</x:f>
        <x:v>11.997353110599997</x:v>
      </x:c>
      <x:c r="D12" s="66" t="n">
        <x:f>MAX(0,D11)*Scenarios!B13</x:f>
        <x:v>12.340710194026496</x:v>
      </x:c>
      <x:c r="E12" s="66" t="n">
        <x:f>MAX(0,E11)*Scenarios!B13</x:f>
        <x:v>12.544011967889569</x:v>
      </x:c>
      <x:c r="F12" s="66" t="n">
        <x:f>MAX(0,F11)*Scenarios!B13</x:f>
        <x:v>12.636247350006403</x:v>
      </x:c>
    </x:row>
    <x:row r="13" ht="21" customHeight="1">
      <x:c r="A13" t="str">
        <x:v>NOPAT</x:v>
      </x:c>
      <x:c r="B13" s="66" t="n">
        <x:f>B11-B12</x:f>
        <x:v>32.808799099999995</x:v>
      </x:c>
      <x:c r="C13" s="66" t="n">
        <x:f>C11-C12</x:f>
        <x:v>34.14631269939999</x:v>
      </x:c>
      <x:c r="D13" s="66" t="n">
        <x:f>D11-D12</x:f>
        <x:v>35.123559782998484</x:v>
      </x:c>
      <x:c r="E13" s="66" t="n">
        <x:f>E11-E12</x:f>
        <x:v>35.70218790860877</x:v>
      </x:c>
      <x:c r="F13" s="66" t="n">
        <x:f>F11-F12</x:f>
        <x:v>35.96470399617208</x:v>
      </x:c>
    </x:row>
    <x:row r="14" ht="21" customHeight="1">
      <x:c r="A14" t="str">
        <x:v>CAPEX</x:v>
      </x:c>
      <x:c r="B14" s="66" t="n">
        <x:f>B7*Scenarios!B11</x:f>
        <x:v>24.334914999999995</x:v>
      </x:c>
      <x:c r="C14" s="66" t="n">
        <x:f>C7*Scenarios!B11</x:f>
        <x:v>25.13796719499999</x:v>
      </x:c>
      <x:c r="D14" s="66" t="n">
        <x:f>D7*Scenarios!B11</x:f>
        <x:v>25.66586450609499</x:v>
      </x:c>
      <x:c r="E14" s="66" t="n">
        <x:f>E7*Scenarios!B11</x:f>
        <x:v>25.89685728664984</x:v>
      </x:c>
      <x:c r="F14" s="66" t="n">
        <x:f>F7*Scenarios!B11</x:f>
        <x:v>25.89685728664984</x:v>
      </x:c>
    </x:row>
    <x:row r="15" ht="21" customHeight="1">
      <x:c r="A15" t="str">
        <x:v>BFR opérationnel</x:v>
      </x:c>
      <x:c r="B15" s="66" t="n">
        <x:f>B7*Scenarios!B12</x:f>
        <x:v>58.337124999999986</x:v>
      </x:c>
      <x:c r="C15" s="66" t="n">
        <x:f>C7*Scenarios!B12</x:f>
        <x:v>60.26225012499998</x:v>
      </x:c>
      <x:c r="D15" s="66" t="n">
        <x:f>D7*Scenarios!B12</x:f>
        <x:v>61.52775737762497</x:v>
      </x:c>
      <x:c r="E15" s="66" t="n">
        <x:f>E7*Scenarios!B12</x:f>
        <x:v>62.081507194023594</x:v>
      </x:c>
      <x:c r="F15" s="66" t="n">
        <x:f>F7*Scenarios!B12</x:f>
        <x:v>62.081507194023594</x:v>
      </x:c>
    </x:row>
    <x:row r="16" ht="21" customHeight="1">
      <x:c r="A16" t="str">
        <x:v>Variation du BFR</x:v>
      </x:c>
      <x:c r="B16" s="66" t="n">
        <x:f>B15-Scenarios!B19</x:f>
        <x:v>8.937124999999988</x:v>
      </x:c>
      <x:c r="C16" s="66" t="n">
        <x:f>C15-B15</x:f>
        <x:v>1.9251251249999939</x:v>
      </x:c>
      <x:c r="D16" s="66" t="n">
        <x:f>D15-C15</x:f>
        <x:v>1.2655072526249924</x:v>
      </x:c>
      <x:c r="E16" s="66" t="n">
        <x:f>E15-D15</x:f>
        <x:v>0.5537498163986214</x:v>
      </x:c>
      <x:c r="F16" s="66" t="n">
        <x:f>F15-E15</x:f>
        <x:v>0</x:v>
      </x:c>
    </x:row>
    <x:row r="17" ht="21" customHeight="1">
      <x:c r="A17" s="63" t="str">
        <x:v>FCFF</x:v>
      </x:c>
      <x:c r="B17" s="67" t="n">
        <x:f>B13+B10-B14-B16</x:f>
        <x:v>14.537734100000009</x:v>
      </x:c>
      <x:c r="C17" s="67" t="n">
        <x:f>C13+C10-C14-C16</x:f>
        <x:v>22.579227554400003</x:v>
      </x:c>
      <x:c r="D17" s="67" t="n">
        <x:f>D13+D10-D14-D16</x:f>
        <x:v>24.013611349953493</x:v>
      </x:c>
      <x:c r="E17" s="67" t="n">
        <x:f>E13+E10-E14-E16</x:f>
        <x:v>25.215396941166375</x:v>
      </x:c>
      <x:c r="F17" s="67" t="n">
        <x:f>F13+F10-F14-F16</x:f>
        <x:v>26.031662845128302</x:v>
      </x:c>
    </x:row>
    <x:row r="18" ht="21" customHeight="1">
      <x:c r="B18" s="56"/>
      <x:c r="C18" s="56"/>
      <x:c r="D18" s="56"/>
      <x:c r="E18" s="56"/>
      <x:c r="F18" s="56"/>
    </x:row>
    <x:row r="19" ht="21" customHeight="1">
      <x:c r="A19" t="str">
        <x:v>Période (années)</x:v>
      </x:c>
      <x:c r="B19" s="56" t="n">
        <x:f>1</x:f>
        <x:v>1</x:v>
      </x:c>
      <x:c r="C19" s="56" t="n">
        <x:f>2</x:f>
        <x:v>2</x:v>
      </x:c>
      <x:c r="D19" s="56" t="n">
        <x:f>3</x:f>
        <x:v>3</x:v>
      </x:c>
      <x:c r="E19" s="56" t="n">
        <x:f>4</x:f>
        <x:v>4</x:v>
      </x:c>
      <x:c r="F19" s="56" t="n">
        <x:f>5</x:f>
        <x:v>5</x:v>
      </x:c>
    </x:row>
    <x:row r="20" ht="21" customHeight="1">
      <x:c r="A20" t="str">
        <x:v>Facteur d’actualisation</x:v>
      </x:c>
      <x:c r="B20" s="56" t="n">
        <x:f>1/(1+Scenarios!B14)^B19</x:f>
        <x:v>0.9049773755656109</x:v>
      </x:c>
      <x:c r="C20" s="56" t="n">
        <x:f>1/(1+Scenarios!B14)^C19</x:f>
        <x:v>0.8189840502856207</x:v>
      </x:c>
      <x:c r="D20" s="56" t="n">
        <x:f>1/(1+Scenarios!B14)^D19</x:f>
        <x:v>0.7411620364575753</x:v>
      </x:c>
      <x:c r="E20" s="56" t="n">
        <x:f>1/(1+Scenarios!B14)^E19</x:f>
        <x:v>0.67073487462224</x:v>
      </x:c>
      <x:c r="F20" s="56" t="n">
        <x:f>1/(1+Scenarios!B14)^F19</x:f>
        <x:v>0.6069998865359638</x:v>
      </x:c>
    </x:row>
    <x:row r="21" ht="21" customHeight="1">
      <x:c r="A21" s="63" t="str">
        <x:v>FCFF actualisé</x:v>
      </x:c>
      <x:c r="B21" s="64" t="n">
        <x:f>B17*B20</x:f>
        <x:v>13.156320452488696</x:v>
      </x:c>
      <x:c r="C21" s="64" t="n">
        <x:f>C17*C20</x:f>
        <x:v>18.492027234823205</x:v>
      </x:c>
      <x:c r="D21" s="64" t="n">
        <x:f>D17*D20</x:f>
        <x:v>17.797977090832273</x:v>
      </x:c>
      <x:c r="E21" s="64" t="n">
        <x:f>E17*E20</x:f>
        <x:v>16.912846105883244</x:v>
      </x:c>
      <x:c r="F21" s="64" t="n">
        <x:f>F17*F20</x:f>
        <x:v>15.801216393335345</x:v>
      </x:c>
    </x:row>
    <x:row r="22" ht="21" customHeight="1">
      <x:c r="B22" s="56"/>
      <x:c r="C22" s="56"/>
      <x:c r="D22" s="56"/>
      <x:c r="E22" s="56"/>
      <x:c r="F22" s="56"/>
    </x:row>
    <x:row r="23" ht="21" customHeight="1">
      <x:c r="B23" s="56"/>
      <x:c r="C23" s="56"/>
      <x:c r="D23" s="56"/>
      <x:c r="E23" s="56"/>
      <x:c r="F23" s="56"/>
    </x:row>
    <x:row r="24" ht="21" customHeight="1">
      <x:c r="A24" t="str">
        <x:v>Somme des FCFF actualisés</x:v>
      </x:c>
      <x:c r="B24" s="56" t="n">
        <x:f>SUM(B21:F21)</x:f>
        <x:v>82.16038727736276</x:v>
      </x:c>
      <x:c r="C24" s="56"/>
      <x:c r="D24" s="56"/>
      <x:c r="E24" s="56"/>
      <x:c r="F24" s="56"/>
    </x:row>
    <x:row r="25" ht="21" customHeight="1">
      <x:c r="A25" t="str">
        <x:v>Valeur terminale (Gordon-Shapiro)</x:v>
      </x:c>
      <x:c r="B25" s="56" t="n">
        <x:f>IF(Scenarios!B14&gt;Scenarios!B15,F17*(1+Scenarios!B15)/(Scenarios!B14-Scenarios!B15),0)</x:f>
        <x:v>304.6003767395473</x:v>
      </x:c>
      <x:c r="C25" s="56"/>
      <x:c r="D25" s="56"/>
      <x:c r="E25" s="56"/>
      <x:c r="F25" s="56"/>
    </x:row>
    <x:row r="26" ht="21" customHeight="1">
      <x:c r="A26" t="str">
        <x:v>Valeur actuelle terminale</x:v>
      </x:c>
      <x:c r="B26" s="56" t="n">
        <x:f>B25*F20</x:f>
        <x:v>184.89239411971704</x:v>
      </x:c>
      <x:c r="C26" s="56"/>
      <x:c r="D26" s="56"/>
      <x:c r="E26" s="56"/>
      <x:c r="F26" s="56"/>
    </x:row>
    <x:row r="27" ht="21" customHeight="1">
      <x:c r="A27" s="63" t="str">
        <x:v>Valeur d’entreprise (EV)</x:v>
      </x:c>
      <x:c r="B27" s="64" t="n">
        <x:f>SUM(B24,B26)</x:f>
        <x:v>267.0527813970798</x:v>
      </x:c>
      <x:c r="C27" s="64"/>
      <x:c r="D27" s="64"/>
      <x:c r="E27" s="64"/>
      <x:c r="F27" s="64"/>
    </x:row>
    <x:row r="28" ht="21" customHeight="1">
      <x:c r="A28" t="str">
        <x:v>Dette nette</x:v>
      </x:c>
      <x:c r="B28" s="56" t="n">
        <x:f>Scenarios!B16</x:f>
        <x:v>74</x:v>
      </x:c>
      <x:c r="C28" s="56"/>
      <x:c r="D28" s="56"/>
      <x:c r="E28" s="56"/>
      <x:c r="F28" s="56"/>
    </x:row>
    <x:row r="29" ht="21" customHeight="1">
      <x:c r="A29" s="63" t="str">
        <x:v>Valeur fonds propres</x:v>
      </x:c>
      <x:c r="B29" s="64" t="n">
        <x:f>B27-B28</x:f>
        <x:v>193.0527813970798</x:v>
      </x:c>
      <x:c r="C29" s="64"/>
      <x:c r="D29" s="64"/>
      <x:c r="E29" s="64"/>
      <x:c r="F29" s="64"/>
    </x:row>
    <x:row r="30" ht="21" customHeight="1">
      <x:c r="A30" t="str">
        <x:v>Nombre actions (millions)</x:v>
      </x:c>
      <x:c r="B30" s="56" t="n">
        <x:f>Scenarios!B17</x:f>
        <x:v>6</x:v>
      </x:c>
      <x:c r="C30" s="56"/>
      <x:c r="D30" s="56"/>
      <x:c r="E30" s="56"/>
      <x:c r="F30" s="56"/>
    </x:row>
    <x:row r="31" ht="21" customHeight="1">
      <x:c r="A31" s="63" t="str">
        <x:v>Valeur par action (MAD)</x:v>
      </x:c>
      <x:c r="B31" s="64" t="n">
        <x:f>B29/B30</x:f>
        <x:v>32.175463566179964</x:v>
      </x:c>
      <x:c r="C31" s="64"/>
      <x:c r="D31" s="64"/>
      <x:c r="E31" s="64"/>
      <x:c r="F31" s="64"/>
    </x:row>
    <x:row r="32" ht="21" customHeight="1">
      <x:c r="A32" t="str">
        <x:v>Poids de la valeur terminale</x:v>
      </x:c>
      <x:c r="B32" s="54" t="n">
        <x:f>IFERROR(B26/B27,0)</x:f>
        <x:v>0.6923440121179686</x:v>
      </x:c>
      <x:c r="C32" s="54"/>
      <x:c r="D32" s="54"/>
      <x:c r="E32" s="54"/>
      <x:c r="F32" s="54"/>
    </x:row>
    <x:row r="33" ht="21" customHeight="1">
      <x:c r="A33" t="str">
        <x:v>WACC</x:v>
      </x:c>
      <x:c r="B33" s="54" t="n">
        <x:f>Scenarios!B14</x:f>
        <x:v>0.105</x:v>
      </x:c>
      <x:c r="C33" s="54"/>
      <x:c r="D33" s="54"/>
      <x:c r="E33" s="54"/>
      <x:c r="F33" s="54"/>
    </x:row>
    <x:row r="34" ht="21" customHeight="1">
      <x:c r="A34" t="str">
        <x:v>Croissance terminale</x:v>
      </x:c>
      <x:c r="B34" s="54" t="n">
        <x:f>Scenarios!B15</x:f>
        <x:v>0.018</x:v>
      </x:c>
      <x:c r="C34" s="54"/>
      <x:c r="D34" s="54"/>
      <x:c r="E34" s="54"/>
      <x:c r="F34" s="54"/>
    </x:row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7" customHeight="1">
      <x:c r="A1" s="50" t="str">
        <x:v>PROJECTIONS FINANCIÈRES  |  CENTRAL</x:v>
      </x:c>
      <x:c r="B1" s="50"/>
      <x:c r="C1" s="50"/>
      <x:c r="D1" s="50"/>
      <x:c r="E1" s="50"/>
      <x:c r="F1" s="50"/>
    </x:row>
    <x:row r="2" ht="27" customHeight="1">
      <x:c r="A2" s="50"/>
      <x:c r="B2" s="50"/>
      <x:c r="C2" s="50"/>
      <x:c r="D2" s="50"/>
      <x:c r="E2" s="50"/>
      <x:c r="F2" s="50"/>
    </x:row>
    <x:row r="3" ht="21" customHeight="1"/>
    <x:row r="4" ht="21" customHeight="1">
      <x:c r="A4" s="52" t="str">
        <x:v>M MAD / exercices</x:v>
      </x:c>
      <x:c r="B4" s="52" t="n">
        <x:v>2026</x:v>
      </x:c>
      <x:c r="C4" s="52" t="n">
        <x:v>2027</x:v>
      </x:c>
      <x:c r="D4" s="52" t="n">
        <x:v>2028</x:v>
      </x:c>
      <x:c r="E4" s="52" t="n">
        <x:v>2029</x:v>
      </x:c>
      <x:c r="F4" s="52" t="n">
        <x:v>2030</x:v>
      </x:c>
    </x:row>
    <x:row r="5" ht="21" customHeight="1"/>
    <x:row r="6" ht="21" customHeight="1">
      <x:c r="A6" t="str">
        <x:v>Croissance CA</x:v>
      </x:c>
      <x:c r="B6" s="65" t="n">
        <x:f>MAX(0,Scenarios!C6-0*Scenarios!C7)</x:f>
        <x:v>0.095</x:v>
      </x:c>
      <x:c r="C6" s="65" t="n">
        <x:f>MAX(0,Scenarios!C6-1*Scenarios!C7)</x:f>
        <x:v>0.08600000000000001</x:v>
      </x:c>
      <x:c r="D6" s="65" t="n">
        <x:f>MAX(0,Scenarios!C6-2*Scenarios!C7)</x:f>
        <x:v>0.077</x:v>
      </x:c>
      <x:c r="E6" s="65" t="n">
        <x:f>MAX(0,Scenarios!C6-3*Scenarios!C7)</x:f>
        <x:v>0.068</x:v>
      </x:c>
      <x:c r="F6" s="65" t="n">
        <x:f>MAX(0,Scenarios!C6-4*Scenarios!C7)</x:f>
        <x:v>0.059000000000000004</x:v>
      </x:c>
    </x:row>
    <x:row r="7" ht="21" customHeight="1">
      <x:c r="A7" t="str">
        <x:v>Chiffre d’affaires</x:v>
      </x:c>
      <x:c r="B7" s="66" t="n">
        <x:f>Scenarios!C18*(1+B6)</x:f>
        <x:v>349.305</x:v>
      </x:c>
      <x:c r="C7" s="66" t="n">
        <x:f>B7*(1+C6)</x:f>
        <x:v>379.34523</x:v>
      </x:c>
      <x:c r="D7" s="66" t="n">
        <x:f>C7*(1+D6)</x:f>
        <x:v>408.55481271</x:v>
      </x:c>
      <x:c r="E7" s="66" t="n">
        <x:f>D7*(1+E6)</x:f>
        <x:v>436.3365399742801</x:v>
      </x:c>
      <x:c r="F7" s="66" t="n">
        <x:f>E7*(1+F6)</x:f>
        <x:v>462.0803958327626</x:v>
      </x:c>
    </x:row>
    <x:row r="8" ht="21" customHeight="1">
      <x:c r="A8" t="str">
        <x:v>Marge EBITDA</x:v>
      </x:c>
      <x:c r="B8" s="65" t="n">
        <x:f>Scenarios!C8+0*Scenarios!C9</x:f>
        <x:v>0.197</x:v>
      </x:c>
      <x:c r="C8" s="65" t="n">
        <x:f>Scenarios!C8+1*Scenarios!C9</x:f>
        <x:v>0.201</x:v>
      </x:c>
      <x:c r="D8" s="65" t="n">
        <x:f>Scenarios!C8+2*Scenarios!C9</x:f>
        <x:v>0.20500000000000002</x:v>
      </x:c>
      <x:c r="E8" s="65" t="n">
        <x:f>Scenarios!C8+3*Scenarios!C9</x:f>
        <x:v>0.20900000000000002</x:v>
      </x:c>
      <x:c r="F8" s="65" t="n">
        <x:f>Scenarios!C8+4*Scenarios!C9</x:f>
        <x:v>0.21300000000000002</x:v>
      </x:c>
    </x:row>
    <x:row r="9" ht="21" customHeight="1">
      <x:c r="A9" t="str">
        <x:v>EBITDA</x:v>
      </x:c>
      <x:c r="B9" s="66" t="n">
        <x:f>B7*B8</x:f>
        <x:v>68.813085</x:v>
      </x:c>
      <x:c r="C9" s="66" t="n">
        <x:f>C7*C8</x:f>
        <x:v>76.24839123000001</x:v>
      </x:c>
      <x:c r="D9" s="66" t="n">
        <x:f>D7*D8</x:f>
        <x:v>83.75373660555002</x:v>
      </x:c>
      <x:c r="E9" s="66" t="n">
        <x:f>E7*E8</x:f>
        <x:v>91.19433685462454</x:v>
      </x:c>
      <x:c r="F9" s="66" t="n">
        <x:f>F7*F8</x:f>
        <x:v>98.42312431237843</x:v>
      </x:c>
    </x:row>
    <x:row r="10" ht="21" customHeight="1">
      <x:c r="A10" t="str">
        <x:v>D&amp;A</x:v>
      </x:c>
      <x:c r="B10" s="66" t="n">
        <x:f>B7*Scenarios!C10</x:f>
        <x:v>14.321505</x:v>
      </x:c>
      <x:c r="C10" s="66" t="n">
        <x:f>C7*Scenarios!C10</x:f>
        <x:v>15.553154430000001</x:v>
      </x:c>
      <x:c r="D10" s="66" t="n">
        <x:f>D7*Scenarios!C10</x:f>
        <x:v>16.75074732111</x:v>
      </x:c>
      <x:c r="E10" s="66" t="n">
        <x:f>E7*Scenarios!C10</x:f>
        <x:v>17.889798138945483</x:v>
      </x:c>
      <x:c r="F10" s="66" t="n">
        <x:f>F7*Scenarios!C10</x:f>
        <x:v>18.945296229143267</x:v>
      </x:c>
    </x:row>
    <x:row r="11" ht="21" customHeight="1">
      <x:c r="A11" t="str">
        <x:v>EBIT</x:v>
      </x:c>
      <x:c r="B11" s="66" t="n">
        <x:f>B9-B10</x:f>
        <x:v>54.49158</x:v>
      </x:c>
      <x:c r="C11" s="66" t="n">
        <x:f>C9-C10</x:f>
        <x:v>60.69523680000001</x:v>
      </x:c>
      <x:c r="D11" s="66" t="n">
        <x:f>D9-D10</x:f>
        <x:v>67.00298928444002</x:v>
      </x:c>
      <x:c r="E11" s="66" t="n">
        <x:f>E9-E10</x:f>
        <x:v>73.30453871567906</x:v>
      </x:c>
      <x:c r="F11" s="66" t="n">
        <x:f>F9-F10</x:f>
        <x:v>79.47782808323517</x:v>
      </x:c>
    </x:row>
    <x:row r="12" ht="21" customHeight="1">
      <x:c r="A12" t="str">
        <x:v>IS théorique</x:v>
      </x:c>
      <x:c r="B12" s="66" t="n">
        <x:f>MAX(0,B11)*Scenarios!C13</x:f>
        <x:v>14.1678108</x:v>
      </x:c>
      <x:c r="C12" s="66" t="n">
        <x:f>MAX(0,C11)*Scenarios!C13</x:f>
        <x:v>15.780761568000003</x:v>
      </x:c>
      <x:c r="D12" s="66" t="n">
        <x:f>MAX(0,D11)*Scenarios!C13</x:f>
        <x:v>17.420777213954405</x:v>
      </x:c>
      <x:c r="E12" s="66" t="n">
        <x:f>MAX(0,E11)*Scenarios!C13</x:f>
        <x:v>19.059180066076557</x:v>
      </x:c>
      <x:c r="F12" s="66" t="n">
        <x:f>MAX(0,F11)*Scenarios!C13</x:f>
        <x:v>20.664235301641146</x:v>
      </x:c>
    </x:row>
    <x:row r="13" ht="21" customHeight="1">
      <x:c r="A13" t="str">
        <x:v>NOPAT</x:v>
      </x:c>
      <x:c r="B13" s="66" t="n">
        <x:f>B11-B12</x:f>
        <x:v>40.3237692</x:v>
      </x:c>
      <x:c r="C13" s="66" t="n">
        <x:f>C11-C12</x:f>
        <x:v>44.91447523200001</x:v>
      </x:c>
      <x:c r="D13" s="66" t="n">
        <x:f>D11-D12</x:f>
        <x:v>49.58221207048561</x:v>
      </x:c>
      <x:c r="E13" s="66" t="n">
        <x:f>E11-E12</x:f>
        <x:v>54.2453586496025</x:v>
      </x:c>
      <x:c r="F13" s="66" t="n">
        <x:f>F11-F12</x:f>
        <x:v>58.813592781594025</x:v>
      </x:c>
    </x:row>
    <x:row r="14" ht="21" customHeight="1">
      <x:c r="A14" t="str">
        <x:v>CAPEX</x:v>
      </x:c>
      <x:c r="B14" s="66" t="n">
        <x:f>B7*Scenarios!C11</x:f>
        <x:v>21.65691</x:v>
      </x:c>
      <x:c r="C14" s="66" t="n">
        <x:f>C7*Scenarios!C11</x:f>
        <x:v>23.51940426</x:v>
      </x:c>
      <x:c r="D14" s="66" t="n">
        <x:f>D7*Scenarios!C11</x:f>
        <x:v>25.33039838802</x:v>
      </x:c>
      <x:c r="E14" s="66" t="n">
        <x:f>E7*Scenarios!C11</x:f>
        <x:v>27.052865478405366</x:v>
      </x:c>
      <x:c r="F14" s="66" t="n">
        <x:f>F7*Scenarios!C11</x:f>
        <x:v>28.64898454163128</x:v>
      </x:c>
    </x:row>
    <x:row r="15" ht="21" customHeight="1">
      <x:c r="A15" t="str">
        <x:v>BFR opérationnel</x:v>
      </x:c>
      <x:c r="B15" s="66" t="n">
        <x:f>B7*Scenarios!C12</x:f>
        <x:v>54.142275</x:v>
      </x:c>
      <x:c r="C15" s="66" t="n">
        <x:f>C7*Scenarios!C12</x:f>
        <x:v>58.798510650000004</x:v>
      </x:c>
      <x:c r="D15" s="66" t="n">
        <x:f>D7*Scenarios!C12</x:f>
        <x:v>63.32599597005</x:v>
      </x:c>
      <x:c r="E15" s="66" t="n">
        <x:f>E7*Scenarios!C12</x:f>
        <x:v>67.63216369601341</x:v>
      </x:c>
      <x:c r="F15" s="66" t="n">
        <x:f>F7*Scenarios!C12</x:f>
        <x:v>71.6224613540782</x:v>
      </x:c>
    </x:row>
    <x:row r="16" ht="21" customHeight="1">
      <x:c r="A16" t="str">
        <x:v>Variation du BFR</x:v>
      </x:c>
      <x:c r="B16" s="66" t="n">
        <x:f>B15-Scenarios!C19</x:f>
        <x:v>4.742274999999999</x:v>
      </x:c>
      <x:c r="C16" s="66" t="n">
        <x:f>C15-B15</x:f>
        <x:v>4.656235650000006</x:v>
      </x:c>
      <x:c r="D16" s="66" t="n">
        <x:f>D15-C15</x:f>
        <x:v>4.527485320049998</x:v>
      </x:c>
      <x:c r="E16" s="66" t="n">
        <x:f>E15-D15</x:f>
        <x:v>4.306167725963405</x:v>
      </x:c>
      <x:c r="F16" s="66" t="n">
        <x:f>F15-E15</x:f>
        <x:v>3.99029765806479</x:v>
      </x:c>
    </x:row>
    <x:row r="17" ht="21" customHeight="1">
      <x:c r="A17" s="63" t="str">
        <x:v>FCFF</x:v>
      </x:c>
      <x:c r="B17" s="67" t="n">
        <x:f>B13+B10-B14-B16</x:f>
        <x:v>28.246089200000007</x:v>
      </x:c>
      <x:c r="C17" s="67" t="n">
        <x:f>C13+C10-C14-C16</x:f>
        <x:v>32.291989752</x:v>
      </x:c>
      <x:c r="D17" s="67" t="n">
        <x:f>D13+D10-D14-D16</x:f>
        <x:v>36.47507568352561</x:v>
      </x:c>
      <x:c r="E17" s="67" t="n">
        <x:f>E13+E10-E14-E16</x:f>
        <x:v>40.77612358417922</x:v>
      </x:c>
      <x:c r="F17" s="67" t="n">
        <x:f>F13+F10-F14-F16</x:f>
        <x:v>45.11960681104122</x:v>
      </x:c>
    </x:row>
    <x:row r="18" ht="21" customHeight="1">
      <x:c r="B18" s="56"/>
      <x:c r="C18" s="56"/>
      <x:c r="D18" s="56"/>
      <x:c r="E18" s="56"/>
      <x:c r="F18" s="56"/>
    </x:row>
    <x:row r="19" ht="21" customHeight="1">
      <x:c r="A19" t="str">
        <x:v>Période (années)</x:v>
      </x:c>
      <x:c r="B19" s="56" t="n">
        <x:f>1</x:f>
        <x:v>1</x:v>
      </x:c>
      <x:c r="C19" s="56" t="n">
        <x:f>2</x:f>
        <x:v>2</x:v>
      </x:c>
      <x:c r="D19" s="56" t="n">
        <x:f>3</x:f>
        <x:v>3</x:v>
      </x:c>
      <x:c r="E19" s="56" t="n">
        <x:f>4</x:f>
        <x:v>4</x:v>
      </x:c>
      <x:c r="F19" s="56" t="n">
        <x:f>5</x:f>
        <x:v>5</x:v>
      </x:c>
    </x:row>
    <x:row r="20" ht="21" customHeight="1">
      <x:c r="A20" t="str">
        <x:v>Facteur d’actualisation</x:v>
      </x:c>
      <x:c r="B20" s="56" t="n">
        <x:f>1/(1+Scenarios!C14)^B19</x:f>
        <x:v>0.9184295002494455</x:v>
      </x:c>
      <x:c r="C20" s="56" t="n">
        <x:f>1/(1+Scenarios!C14)^C19</x:f>
        <x:v>0.8435127469284461</x:v>
      </x:c>
      <x:c r="D20" s="56" t="n">
        <x:f>1/(1+Scenarios!C14)^D19</x:f>
        <x:v>0.7747069906155298</x:v>
      </x:c>
      <x:c r="E20" s="56" t="n">
        <x:f>1/(1+Scenarios!C14)^E19</x:f>
        <x:v>0.7115137542307729</x:v>
      </x:c>
      <x:c r="F20" s="56" t="n">
        <x:f>1/(1+Scenarios!C14)^F19</x:f>
        <x:v>0.6534752217187756</x:v>
      </x:c>
    </x:row>
    <x:row r="21" ht="21" customHeight="1">
      <x:c r="A21" s="63" t="str">
        <x:v>FCFF actualisé</x:v>
      </x:c>
      <x:c r="B21" s="64" t="n">
        <x:f>B17*B20</x:f>
        <x:v>25.942041587957267</x:v>
      </x:c>
      <x:c r="C21" s="64" t="n">
        <x:f>C17*C20</x:f>
        <x:v>27.238704979494752</x:v>
      </x:c>
      <x:c r="D21" s="64" t="n">
        <x:f>D17*D20</x:f>
        <x:v>28.257496115257815</x:v>
      </x:c>
      <x:c r="E21" s="64" t="n">
        <x:f>E17*E20</x:f>
        <x:v>29.012772774357312</x:v>
      </x:c>
      <x:c r="F21" s="64" t="n">
        <x:f>F17*F20</x:f>
        <x:v>29.484545064709142</x:v>
      </x:c>
    </x:row>
    <x:row r="22" ht="21" customHeight="1">
      <x:c r="B22" s="56"/>
      <x:c r="C22" s="56"/>
      <x:c r="D22" s="56"/>
      <x:c r="E22" s="56"/>
      <x:c r="F22" s="56"/>
    </x:row>
    <x:row r="23" ht="21" customHeight="1">
      <x:c r="B23" s="56"/>
      <x:c r="C23" s="56"/>
      <x:c r="D23" s="56"/>
      <x:c r="E23" s="56"/>
      <x:c r="F23" s="56"/>
    </x:row>
    <x:row r="24" ht="21" customHeight="1">
      <x:c r="A24" t="str">
        <x:v>Somme des FCFF actualisés</x:v>
      </x:c>
      <x:c r="B24" s="56" t="n">
        <x:f>SUM(B21:F21)</x:f>
        <x:v>139.9355605217763</x:v>
      </x:c>
      <x:c r="C24" s="56"/>
      <x:c r="D24" s="56"/>
      <x:c r="E24" s="56"/>
      <x:c r="F24" s="56"/>
    </x:row>
    <x:row r="25" ht="21" customHeight="1">
      <x:c r="A25" t="str">
        <x:v>Valeur terminale (Gordon-Shapiro)</x:v>
      </x:c>
      <x:c r="B25" s="56" t="n">
        <x:f>IF(Scenarios!C14&gt;Scenarios!C15,F17*(1+Scenarios!C15)/(Scenarios!C14-Scenarios!C15),0)</x:f>
        <x:v>724.7113067312685</x:v>
      </x:c>
      <x:c r="C25" s="56"/>
      <x:c r="D25" s="56"/>
      <x:c r="E25" s="56"/>
      <x:c r="F25" s="56"/>
    </x:row>
    <x:row r="26" ht="21" customHeight="1">
      <x:c r="A26" t="str">
        <x:v>Valeur actuelle terminale</x:v>
      </x:c>
      <x:c r="B26" s="56" t="n">
        <x:f>B25*F20</x:f>
        <x:v>473.5808818483192</x:v>
      </x:c>
      <x:c r="C26" s="56"/>
      <x:c r="D26" s="56"/>
      <x:c r="E26" s="56"/>
      <x:c r="F26" s="56"/>
    </x:row>
    <x:row r="27" ht="21" customHeight="1">
      <x:c r="A27" s="63" t="str">
        <x:v>Valeur d’entreprise (EV)</x:v>
      </x:c>
      <x:c r="B27" s="64" t="n">
        <x:f>SUM(B24,B26)</x:f>
        <x:v>613.5164423700955</x:v>
      </x:c>
      <x:c r="C27" s="64"/>
      <x:c r="D27" s="64"/>
      <x:c r="E27" s="64"/>
      <x:c r="F27" s="64"/>
    </x:row>
    <x:row r="28" ht="21" customHeight="1">
      <x:c r="A28" t="str">
        <x:v>Dette nette</x:v>
      </x:c>
      <x:c r="B28" s="56" t="n">
        <x:f>Scenarios!C16</x:f>
        <x:v>74</x:v>
      </x:c>
      <x:c r="C28" s="56"/>
      <x:c r="D28" s="56"/>
      <x:c r="E28" s="56"/>
      <x:c r="F28" s="56"/>
    </x:row>
    <x:row r="29" ht="21" customHeight="1">
      <x:c r="A29" s="63" t="str">
        <x:v>Valeur fonds propres</x:v>
      </x:c>
      <x:c r="B29" s="64" t="n">
        <x:f>B27-B28</x:f>
        <x:v>539.5164423700955</x:v>
      </x:c>
      <x:c r="C29" s="64"/>
      <x:c r="D29" s="64"/>
      <x:c r="E29" s="64"/>
      <x:c r="F29" s="64"/>
    </x:row>
    <x:row r="30" ht="21" customHeight="1">
      <x:c r="A30" t="str">
        <x:v>Nombre actions (millions)</x:v>
      </x:c>
      <x:c r="B30" s="56" t="n">
        <x:f>Scenarios!C17</x:f>
        <x:v>6</x:v>
      </x:c>
      <x:c r="C30" s="56"/>
      <x:c r="D30" s="56"/>
      <x:c r="E30" s="56"/>
      <x:c r="F30" s="56"/>
    </x:row>
    <x:row r="31" ht="21" customHeight="1">
      <x:c r="A31" s="63" t="str">
        <x:v>Valeur par action (MAD)</x:v>
      </x:c>
      <x:c r="B31" s="64" t="n">
        <x:f>B29/B30</x:f>
        <x:v>89.91940706168259</x:v>
      </x:c>
      <x:c r="C31" s="64"/>
      <x:c r="D31" s="64"/>
      <x:c r="E31" s="64"/>
      <x:c r="F31" s="64"/>
    </x:row>
    <x:row r="32" ht="21" customHeight="1">
      <x:c r="A32" t="str">
        <x:v>Poids de la valeur terminale</x:v>
      </x:c>
      <x:c r="B32" s="54" t="n">
        <x:f>IFERROR(B26/B27,0)</x:f>
        <x:v>0.7719122897812051</x:v>
      </x:c>
      <x:c r="C32" s="54"/>
      <x:c r="D32" s="54"/>
      <x:c r="E32" s="54"/>
      <x:c r="F32" s="54"/>
    </x:row>
    <x:row r="33" ht="21" customHeight="1">
      <x:c r="A33" t="str">
        <x:v>WACC</x:v>
      </x:c>
      <x:c r="B33" s="54" t="n">
        <x:f>Scenarios!C14</x:f>
        <x:v>0.08881520000000001</x:v>
      </x:c>
      <x:c r="C33" s="54"/>
      <x:c r="D33" s="54"/>
      <x:c r="E33" s="54"/>
      <x:c r="F33" s="54"/>
    </x:row>
    <x:row r="34" ht="21" customHeight="1">
      <x:c r="A34" t="str">
        <x:v>Croissance terminale</x:v>
      </x:c>
      <x:c r="B34" s="54" t="n">
        <x:f>Scenarios!C15</x:f>
        <x:v>0.025</x:v>
      </x:c>
      <x:c r="C34" s="54"/>
      <x:c r="D34" s="54"/>
      <x:c r="E34" s="54"/>
      <x:c r="F34" s="54"/>
    </x:row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</x:sheetData>
  <x:mergeCells>
    <x:mergeCell ref="A1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7" customHeight="1">
      <x:c r="A1" s="50" t="str">
        <x:v>PROJECTIONS FINANCIÈRES  |  OPTIMISTE</x:v>
      </x:c>
      <x:c r="B1" s="50"/>
      <x:c r="C1" s="50"/>
      <x:c r="D1" s="50"/>
      <x:c r="E1" s="50"/>
      <x:c r="F1" s="50"/>
    </x:row>
    <x:row r="2" ht="27" customHeight="1">
      <x:c r="A2" s="50"/>
      <x:c r="B2" s="50"/>
      <x:c r="C2" s="50"/>
      <x:c r="D2" s="50"/>
      <x:c r="E2" s="50"/>
      <x:c r="F2" s="50"/>
    </x:row>
    <x:row r="3" ht="21" customHeight="1"/>
    <x:row r="4" ht="21" customHeight="1">
      <x:c r="A4" s="52" t="str">
        <x:v>M MAD / exercices</x:v>
      </x:c>
      <x:c r="B4" s="52" t="n">
        <x:v>2026</x:v>
      </x:c>
      <x:c r="C4" s="52" t="n">
        <x:v>2027</x:v>
      </x:c>
      <x:c r="D4" s="52" t="n">
        <x:v>2028</x:v>
      </x:c>
      <x:c r="E4" s="52" t="n">
        <x:v>2029</x:v>
      </x:c>
      <x:c r="F4" s="52" t="n">
        <x:v>2030</x:v>
      </x:c>
    </x:row>
    <x:row r="5" ht="21" customHeight="1"/>
    <x:row r="6" ht="21" customHeight="1">
      <x:c r="A6" t="str">
        <x:v>Croissance CA</x:v>
      </x:c>
      <x:c r="B6" s="65" t="n">
        <x:f>MAX(0,Scenarios!D6-0*Scenarios!D7)</x:f>
        <x:v>0.125</x:v>
      </x:c>
      <x:c r="C6" s="65" t="n">
        <x:f>MAX(0,Scenarios!D6-1*Scenarios!D7)</x:f>
        <x:v>0.12</x:v>
      </x:c>
      <x:c r="D6" s="65" t="n">
        <x:f>MAX(0,Scenarios!D6-2*Scenarios!D7)</x:f>
        <x:v>0.115</x:v>
      </x:c>
      <x:c r="E6" s="65" t="n">
        <x:f>MAX(0,Scenarios!D6-3*Scenarios!D7)</x:f>
        <x:v>0.11</x:v>
      </x:c>
      <x:c r="F6" s="65" t="n">
        <x:f>MAX(0,Scenarios!D6-4*Scenarios!D7)</x:f>
        <x:v>0.105</x:v>
      </x:c>
    </x:row>
    <x:row r="7" ht="21" customHeight="1">
      <x:c r="A7" t="str">
        <x:v>Chiffre d’affaires</x:v>
      </x:c>
      <x:c r="B7" s="66" t="n">
        <x:f>Scenarios!D18*(1+B6)</x:f>
        <x:v>358.875</x:v>
      </x:c>
      <x:c r="C7" s="66" t="n">
        <x:f>B7*(1+C6)</x:f>
        <x:v>401.94000000000005</x:v>
      </x:c>
      <x:c r="D7" s="66" t="n">
        <x:f>C7*(1+D6)</x:f>
        <x:v>448.16310000000004</x:v>
      </x:c>
      <x:c r="E7" s="66" t="n">
        <x:f>D7*(1+E6)</x:f>
        <x:v>497.4610410000001</x:v>
      </x:c>
      <x:c r="F7" s="66" t="n">
        <x:f>E7*(1+F6)</x:f>
        <x:v>549.694450305</x:v>
      </x:c>
    </x:row>
    <x:row r="8" ht="21" customHeight="1">
      <x:c r="A8" t="str">
        <x:v>Marge EBITDA</x:v>
      </x:c>
      <x:c r="B8" s="65" t="n">
        <x:f>Scenarios!D8+0*Scenarios!D9</x:f>
        <x:v>0.21</x:v>
      </x:c>
      <x:c r="C8" s="65" t="n">
        <x:f>Scenarios!D8+1*Scenarios!D9</x:f>
        <x:v>0.216</x:v>
      </x:c>
      <x:c r="D8" s="65" t="n">
        <x:f>Scenarios!D8+2*Scenarios!D9</x:f>
        <x:v>0.222</x:v>
      </x:c>
      <x:c r="E8" s="65" t="n">
        <x:f>Scenarios!D8+3*Scenarios!D9</x:f>
        <x:v>0.22799999999999998</x:v>
      </x:c>
      <x:c r="F8" s="65" t="n">
        <x:f>Scenarios!D8+4*Scenarios!D9</x:f>
        <x:v>0.23399999999999999</x:v>
      </x:c>
    </x:row>
    <x:row r="9" ht="21" customHeight="1">
      <x:c r="A9" t="str">
        <x:v>EBITDA</x:v>
      </x:c>
      <x:c r="B9" s="66" t="n">
        <x:f>B7*B8</x:f>
        <x:v>75.36375</x:v>
      </x:c>
      <x:c r="C9" s="66" t="n">
        <x:f>C7*C8</x:f>
        <x:v>86.81904000000002</x:v>
      </x:c>
      <x:c r="D9" s="66" t="n">
        <x:f>D7*D8</x:f>
        <x:v>99.49220820000001</x:v>
      </x:c>
      <x:c r="E9" s="66" t="n">
        <x:f>E7*E8</x:f>
        <x:v>113.42111734800001</x:v>
      </x:c>
      <x:c r="F9" s="66" t="n">
        <x:f>F7*F8</x:f>
        <x:v>128.62850137137</x:v>
      </x:c>
    </x:row>
    <x:row r="10" ht="21" customHeight="1">
      <x:c r="A10" t="str">
        <x:v>D&amp;A</x:v>
      </x:c>
      <x:c r="B10" s="66" t="n">
        <x:f>B7*Scenarios!D10</x:f>
        <x:v>13.63725</x:v>
      </x:c>
      <x:c r="C10" s="66" t="n">
        <x:f>C7*Scenarios!D10</x:f>
        <x:v>15.27372</x:v>
      </x:c>
      <x:c r="D10" s="66" t="n">
        <x:f>D7*Scenarios!D10</x:f>
        <x:v>17.0301978</x:v>
      </x:c>
      <x:c r="E10" s="66" t="n">
        <x:f>E7*Scenarios!D10</x:f>
        <x:v>18.903519558000003</x:v>
      </x:c>
      <x:c r="F10" s="66" t="n">
        <x:f>F7*Scenarios!D10</x:f>
        <x:v>20.88838911159</x:v>
      </x:c>
    </x:row>
    <x:row r="11" ht="21" customHeight="1">
      <x:c r="A11" t="str">
        <x:v>EBIT</x:v>
      </x:c>
      <x:c r="B11" s="66" t="n">
        <x:f>B9-B10</x:f>
        <x:v>61.726499999999994</x:v>
      </x:c>
      <x:c r="C11" s="66" t="n">
        <x:f>C9-C10</x:f>
        <x:v>71.54532000000002</x:v>
      </x:c>
      <x:c r="D11" s="66" t="n">
        <x:f>D9-D10</x:f>
        <x:v>82.46201040000001</x:v>
      </x:c>
      <x:c r="E11" s="66" t="n">
        <x:f>E9-E10</x:f>
        <x:v>94.51759779000001</x:v>
      </x:c>
      <x:c r="F11" s="66" t="n">
        <x:f>F9-F10</x:f>
        <x:v>107.74011225977999</x:v>
      </x:c>
    </x:row>
    <x:row r="12" ht="21" customHeight="1">
      <x:c r="A12" t="str">
        <x:v>IS théorique</x:v>
      </x:c>
      <x:c r="B12" s="66" t="n">
        <x:f>MAX(0,B11)*Scenarios!D13</x:f>
        <x:v>16.04889</x:v>
      </x:c>
      <x:c r="C12" s="66" t="n">
        <x:f>MAX(0,C11)*Scenarios!D13</x:f>
        <x:v>18.601783200000007</x:v>
      </x:c>
      <x:c r="D12" s="66" t="n">
        <x:f>MAX(0,D11)*Scenarios!D13</x:f>
        <x:v>21.440122704000004</x:v>
      </x:c>
      <x:c r="E12" s="66" t="n">
        <x:f>MAX(0,E11)*Scenarios!D13</x:f>
        <x:v>24.574575425400003</x:v>
      </x:c>
      <x:c r="F12" s="66" t="n">
        <x:f>MAX(0,F11)*Scenarios!D13</x:f>
        <x:v>28.0124291875428</x:v>
      </x:c>
    </x:row>
    <x:row r="13" ht="21" customHeight="1">
      <x:c r="A13" t="str">
        <x:v>NOPAT</x:v>
      </x:c>
      <x:c r="B13" s="66" t="n">
        <x:f>B11-B12</x:f>
        <x:v>45.677609999999994</x:v>
      </x:c>
      <x:c r="C13" s="66" t="n">
        <x:f>C11-C12</x:f>
        <x:v>52.94353680000001</x:v>
      </x:c>
      <x:c r="D13" s="66" t="n">
        <x:f>D11-D12</x:f>
        <x:v>61.02188769600001</x:v>
      </x:c>
      <x:c r="E13" s="66" t="n">
        <x:f>E11-E12</x:f>
        <x:v>69.94302236460001</x:v>
      </x:c>
      <x:c r="F13" s="66" t="n">
        <x:f>F11-F12</x:f>
        <x:v>79.7276830722372</x:v>
      </x:c>
    </x:row>
    <x:row r="14" ht="21" customHeight="1">
      <x:c r="A14" t="str">
        <x:v>CAPEX</x:v>
      </x:c>
      <x:c r="B14" s="66" t="n">
        <x:f>B7*Scenarios!D11</x:f>
        <x:v>20.81475</x:v>
      </x:c>
      <x:c r="C14" s="66" t="n">
        <x:f>C7*Scenarios!D11</x:f>
        <x:v>23.312520000000003</x:v>
      </x:c>
      <x:c r="D14" s="66" t="n">
        <x:f>D7*Scenarios!D11</x:f>
        <x:v>25.993459800000004</x:v>
      </x:c>
      <x:c r="E14" s="66" t="n">
        <x:f>E7*Scenarios!D11</x:f>
        <x:v>28.852740378000007</x:v>
      </x:c>
      <x:c r="F14" s="66" t="n">
        <x:f>F7*Scenarios!D11</x:f>
        <x:v>31.882278117690003</x:v>
      </x:c>
    </x:row>
    <x:row r="15" ht="21" customHeight="1">
      <x:c r="A15" t="str">
        <x:v>BFR opérationnel</x:v>
      </x:c>
      <x:c r="B15" s="66" t="n">
        <x:f>B7*Scenarios!D12</x:f>
        <x:v>52.036874999999995</x:v>
      </x:c>
      <x:c r="C15" s="66" t="n">
        <x:f>C7*Scenarios!D12</x:f>
        <x:v>58.2813</x:v>
      </x:c>
      <x:c r="D15" s="66" t="n">
        <x:f>D7*Scenarios!D12</x:f>
        <x:v>64.9836495</x:v>
      </x:c>
      <x:c r="E15" s="66" t="n">
        <x:f>E7*Scenarios!D12</x:f>
        <x:v>72.13185094500001</x:v>
      </x:c>
      <x:c r="F15" s="66" t="n">
        <x:f>F7*Scenarios!D12</x:f>
        <x:v>79.705695294225</x:v>
      </x:c>
    </x:row>
    <x:row r="16" ht="21" customHeight="1">
      <x:c r="A16" t="str">
        <x:v>Variation du BFR</x:v>
      </x:c>
      <x:c r="B16" s="66" t="n">
        <x:f>B15-Scenarios!D19</x:f>
        <x:v>2.6368749999999963</x:v>
      </x:c>
      <x:c r="C16" s="66" t="n">
        <x:f>C15-B15</x:f>
        <x:v>6.244425000000007</x:v>
      </x:c>
      <x:c r="D16" s="66" t="n">
        <x:f>D15-C15</x:f>
        <x:v>6.702349499999997</x:v>
      </x:c>
      <x:c r="E16" s="66" t="n">
        <x:f>E15-D15</x:f>
        <x:v>7.148201445000012</x:v>
      </x:c>
      <x:c r="F16" s="66" t="n">
        <x:f>F15-E15</x:f>
        <x:v>7.573844349224984</x:v>
      </x:c>
    </x:row>
    <x:row r="17" ht="21" customHeight="1">
      <x:c r="A17" s="63" t="str">
        <x:v>FCFF</x:v>
      </x:c>
      <x:c r="B17" s="67" t="n">
        <x:f>B13+B10-B14-B16</x:f>
        <x:v>35.863234999999996</x:v>
      </x:c>
      <x:c r="C17" s="67" t="n">
        <x:f>C13+C10-C14-C16</x:f>
        <x:v>38.6603118</x:v>
      </x:c>
      <x:c r="D17" s="67" t="n">
        <x:f>D13+D10-D14-D16</x:f>
        <x:v>45.356276196</x:v>
      </x:c>
      <x:c r="E17" s="67" t="n">
        <x:f>E13+E10-E14-E16</x:f>
        <x:v>52.84560009959999</x:v>
      </x:c>
      <x:c r="F17" s="67" t="n">
        <x:f>F13+F10-F14-F16</x:f>
        <x:v>61.15994971691221</x:v>
      </x:c>
    </x:row>
    <x:row r="18" ht="21" customHeight="1">
      <x:c r="B18" s="56"/>
      <x:c r="C18" s="56"/>
      <x:c r="D18" s="56"/>
      <x:c r="E18" s="56"/>
      <x:c r="F18" s="56"/>
    </x:row>
    <x:row r="19" ht="21" customHeight="1">
      <x:c r="A19" t="str">
        <x:v>Période (années)</x:v>
      </x:c>
      <x:c r="B19" s="56" t="n">
        <x:f>1</x:f>
        <x:v>1</x:v>
      </x:c>
      <x:c r="C19" s="56" t="n">
        <x:f>2</x:f>
        <x:v>2</x:v>
      </x:c>
      <x:c r="D19" s="56" t="n">
        <x:f>3</x:f>
        <x:v>3</x:v>
      </x:c>
      <x:c r="E19" s="56" t="n">
        <x:f>4</x:f>
        <x:v>4</x:v>
      </x:c>
      <x:c r="F19" s="56" t="n">
        <x:f>5</x:f>
        <x:v>5</x:v>
      </x:c>
    </x:row>
    <x:row r="20" ht="21" customHeight="1">
      <x:c r="A20" t="str">
        <x:v>Facteur d’actualisation</x:v>
      </x:c>
      <x:c r="B20" s="56" t="n">
        <x:f>1/(1+Scenarios!D14)^B19</x:f>
        <x:v>0.9276437847866419</x:v>
      </x:c>
      <x:c r="C20" s="56" t="n">
        <x:f>1/(1+Scenarios!D14)^C19</x:f>
        <x:v>0.8605229914532856</x:v>
      </x:c>
      <x:c r="D20" s="56" t="n">
        <x:f>1/(1+Scenarios!D14)^D19</x:f>
        <x:v>0.7982588046876489</x:v>
      </x:c>
      <x:c r="E20" s="56" t="n">
        <x:f>1/(1+Scenarios!D14)^E19</x:f>
        <x:v>0.7404998188197114</x:v>
      </x:c>
      <x:c r="F20" s="56" t="n">
        <x:f>1/(1+Scenarios!D14)^F19</x:f>
        <x:v>0.6869200545637396</x:v>
      </x:c>
    </x:row>
    <x:row r="21" ht="21" customHeight="1">
      <x:c r="A21" s="63" t="str">
        <x:v>FCFF actualisé</x:v>
      </x:c>
      <x:c r="B21" s="64" t="n">
        <x:f>B17*B20</x:f>
        <x:v>33.26830705009276</x:v>
      </x:c>
      <x:c r="C21" s="64" t="n">
        <x:f>C17*C20</x:f>
        <x:v>33.268087160652755</x:v>
      </x:c>
      <x:c r="D21" s="64" t="n">
        <x:f>D17*D20</x:f>
        <x:v>36.206046821301825</x:v>
      </x:c>
      <x:c r="E21" s="64" t="n">
        <x:f>E17*E20</x:f>
        <x:v>39.13215729917272</x:v>
      </x:c>
      <x:c r="F21" s="64" t="n">
        <x:f>F17*F20</x:f>
        <x:v>42.01199599665691</x:v>
      </x:c>
    </x:row>
    <x:row r="22" ht="21" customHeight="1">
      <x:c r="B22" s="56"/>
      <x:c r="C22" s="56"/>
      <x:c r="D22" s="56"/>
      <x:c r="E22" s="56"/>
      <x:c r="F22" s="56"/>
    </x:row>
    <x:row r="23" ht="21" customHeight="1">
      <x:c r="B23" s="56"/>
      <x:c r="C23" s="56"/>
      <x:c r="D23" s="56"/>
      <x:c r="E23" s="56"/>
      <x:c r="F23" s="56"/>
    </x:row>
    <x:row r="24" ht="21" customHeight="1">
      <x:c r="A24" t="str">
        <x:v>Somme des FCFF actualisés</x:v>
      </x:c>
      <x:c r="B24" s="56" t="n">
        <x:f>SUM(B21:F21)</x:f>
        <x:v>183.88659432787696</x:v>
      </x:c>
      <x:c r="C24" s="56"/>
      <x:c r="D24" s="56"/>
      <x:c r="E24" s="56"/>
      <x:c r="F24" s="56"/>
    </x:row>
    <x:row r="25" ht="21" customHeight="1">
      <x:c r="A25" t="str">
        <x:v>Valeur terminale (Gordon-Shapiro)</x:v>
      </x:c>
      <x:c r="B25" s="56" t="n">
        <x:f>IF(Scenarios!D14&gt;Scenarios!D15,F17*(1+Scenarios!D15)/(Scenarios!D14-Scenarios!D15),0)</x:f>
        <x:v>1312.390587675408</x:v>
      </x:c>
      <x:c r="C25" s="56"/>
      <x:c r="D25" s="56"/>
      <x:c r="E25" s="56"/>
      <x:c r="F25" s="56"/>
    </x:row>
    <x:row r="26" ht="21" customHeight="1">
      <x:c r="A26" t="str">
        <x:v>Valeur actuelle terminale</x:v>
      </x:c>
      <x:c r="B26" s="56" t="n">
        <x:f>B25*F20</x:f>
        <x:v>901.5074140949295</x:v>
      </x:c>
      <x:c r="C26" s="56"/>
      <x:c r="D26" s="56"/>
      <x:c r="E26" s="56"/>
      <x:c r="F26" s="56"/>
    </x:row>
    <x:row r="27" ht="21" customHeight="1">
      <x:c r="A27" s="63" t="str">
        <x:v>Valeur d’entreprise (EV)</x:v>
      </x:c>
      <x:c r="B27" s="64" t="n">
        <x:f>SUM(B24,B26)</x:f>
        <x:v>1085.3940084228063</x:v>
      </x:c>
      <x:c r="C27" s="64"/>
      <x:c r="D27" s="64"/>
      <x:c r="E27" s="64"/>
      <x:c r="F27" s="64"/>
    </x:row>
    <x:row r="28" ht="21" customHeight="1">
      <x:c r="A28" t="str">
        <x:v>Dette nette</x:v>
      </x:c>
      <x:c r="B28" s="56" t="n">
        <x:f>Scenarios!D16</x:f>
        <x:v>74</x:v>
      </x:c>
      <x:c r="C28" s="56"/>
      <x:c r="D28" s="56"/>
      <x:c r="E28" s="56"/>
      <x:c r="F28" s="56"/>
    </x:row>
    <x:row r="29" ht="21" customHeight="1">
      <x:c r="A29" s="63" t="str">
        <x:v>Valeur fonds propres</x:v>
      </x:c>
      <x:c r="B29" s="64" t="n">
        <x:f>B27-B28</x:f>
        <x:v>1011.3940084228063</x:v>
      </x:c>
      <x:c r="C29" s="64"/>
      <x:c r="D29" s="64"/>
      <x:c r="E29" s="64"/>
      <x:c r="F29" s="64"/>
    </x:row>
    <x:row r="30" ht="21" customHeight="1">
      <x:c r="A30" t="str">
        <x:v>Nombre actions (millions)</x:v>
      </x:c>
      <x:c r="B30" s="56" t="n">
        <x:f>Scenarios!D17</x:f>
        <x:v>6</x:v>
      </x:c>
      <x:c r="C30" s="56"/>
      <x:c r="D30" s="56"/>
      <x:c r="E30" s="56"/>
      <x:c r="F30" s="56"/>
    </x:row>
    <x:row r="31" ht="21" customHeight="1">
      <x:c r="A31" s="63" t="str">
        <x:v>Valeur par action (MAD)</x:v>
      </x:c>
      <x:c r="B31" s="64" t="n">
        <x:f>B29/B30</x:f>
        <x:v>168.56566807046772</x:v>
      </x:c>
      <x:c r="C31" s="64"/>
      <x:c r="D31" s="64"/>
      <x:c r="E31" s="64"/>
      <x:c r="F31" s="64"/>
    </x:row>
    <x:row r="32" ht="21" customHeight="1">
      <x:c r="A32" t="str">
        <x:v>Poids de la valeur terminale</x:v>
      </x:c>
      <x:c r="B32" s="54" t="n">
        <x:f>IFERROR(B26/B27,0)</x:f>
        <x:v>0.8305807910299009</x:v>
      </x:c>
      <x:c r="C32" s="54"/>
      <x:c r="D32" s="54"/>
      <x:c r="E32" s="54"/>
      <x:c r="F32" s="54"/>
    </x:row>
    <x:row r="33" ht="21" customHeight="1">
      <x:c r="A33" t="str">
        <x:v>WACC</x:v>
      </x:c>
      <x:c r="B33" s="54" t="n">
        <x:f>Scenarios!D14</x:f>
        <x:v>0.078</x:v>
      </x:c>
      <x:c r="C33" s="54"/>
      <x:c r="D33" s="54"/>
      <x:c r="E33" s="54"/>
      <x:c r="F33" s="54"/>
    </x:row>
    <x:row r="34" ht="21" customHeight="1">
      <x:c r="A34" t="str">
        <x:v>Croissance terminale</x:v>
      </x:c>
      <x:c r="B34" s="54" t="n">
        <x:f>Scenarios!D15</x:f>
        <x:v>0.03</x:v>
      </x:c>
      <x:c r="C34" s="54"/>
      <x:c r="D34" s="54"/>
      <x:c r="E34" s="54"/>
      <x:c r="F34" s="54"/>
    </x:row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</x:sheetData>
  <x:mergeCells>
    <x:mergeCell ref="A1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21" hidden="0" customWidth="1"/>
    <x:col min="3" max="3" width="21" hidden="0" customWidth="1"/>
    <x:col min="4" max="4" width="21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7" customHeight="1">
      <x:c r="A1" s="50" t="str">
        <x:v>COMPARATIF  |  VALEURS PAR SCÉNARIO</x:v>
      </x:c>
      <x:c r="B1" s="50"/>
      <x:c r="C1" s="50"/>
      <x:c r="D1" s="50"/>
    </x:row>
    <x:row r="2" ht="27" customHeight="1">
      <x:c r="A2" s="50"/>
      <x:c r="B2" s="50"/>
      <x:c r="C2" s="50"/>
      <x:c r="D2" s="50"/>
    </x:row>
    <x:row r="3" ht="21" customHeight="1"/>
    <x:row r="4" ht="21" customHeight="1">
      <x:c r="A4" s="52" t="str">
        <x:v>Indicateur</x:v>
      </x:c>
      <x:c r="B4" s="52" t="str">
        <x:v>Pessimiste</x:v>
      </x:c>
      <x:c r="C4" s="52" t="str">
        <x:v>Central</x:v>
      </x:c>
      <x:c r="D4" s="52" t="str">
        <x:v>Optimiste</x:v>
      </x:c>
    </x:row>
    <x:row r="5" ht="21" customHeight="1"/>
    <x:row r="6" ht="21" customHeight="1">
      <x:c r="A6" s="61" t="str">
        <x:v>Valeur d’entreprise (M MAD)</x:v>
      </x:c>
      <x:c r="B6" s="62" t="n">
        <x:f>'Pessimiste'!B27</x:f>
        <x:v>267.0527813970798</x:v>
      </x:c>
      <x:c r="C6" s="62" t="n">
        <x:f>'Central'!B27</x:f>
        <x:v>613.5164423700955</x:v>
      </x:c>
      <x:c r="D6" s="62" t="n">
        <x:f>'Optimiste'!B27</x:f>
        <x:v>1085.3940084228063</x:v>
      </x:c>
    </x:row>
    <x:row r="7" ht="21" customHeight="1">
      <x:c r="A7" s="61" t="str">
        <x:v>Valeur fonds propres (M MAD)</x:v>
      </x:c>
      <x:c r="B7" s="62" t="n">
        <x:f>'Pessimiste'!B29</x:f>
        <x:v>193.0527813970798</x:v>
      </x:c>
      <x:c r="C7" s="62" t="n">
        <x:f>'Central'!B29</x:f>
        <x:v>539.5164423700955</x:v>
      </x:c>
      <x:c r="D7" s="62" t="n">
        <x:f>'Optimiste'!B29</x:f>
        <x:v>1011.3940084228063</x:v>
      </x:c>
    </x:row>
    <x:row r="8" ht="21" customHeight="1">
      <x:c r="A8" s="61" t="str">
        <x:v>Valeur / action (MAD)</x:v>
      </x:c>
      <x:c r="B8" s="62" t="n">
        <x:f>'Pessimiste'!B31</x:f>
        <x:v>32.175463566179964</x:v>
      </x:c>
      <x:c r="C8" s="62" t="n">
        <x:f>'Central'!B31</x:f>
        <x:v>89.91940706168259</x:v>
      </x:c>
      <x:c r="D8" s="62" t="n">
        <x:f>'Optimiste'!B31</x:f>
        <x:v>168.56566807046772</x:v>
      </x:c>
    </x:row>
    <x:row r="9" ht="21" customHeight="1">
      <x:c r="A9" t="str">
        <x:v>WACC</x:v>
      </x:c>
      <x:c r="B9" s="54" t="n">
        <x:f>'Pessimiste'!B33</x:f>
        <x:v>0.105</x:v>
      </x:c>
      <x:c r="C9" s="54" t="n">
        <x:f>'Central'!B33</x:f>
        <x:v>0.08881520000000001</x:v>
      </x:c>
      <x:c r="D9" s="54" t="n">
        <x:f>'Optimiste'!B33</x:f>
        <x:v>0.078</x:v>
      </x:c>
    </x:row>
    <x:row r="10" ht="21" customHeight="1">
      <x:c r="A10" t="str">
        <x:v>Croissance terminale</x:v>
      </x:c>
      <x:c r="B10" s="54" t="n">
        <x:f>'Pessimiste'!B34</x:f>
        <x:v>0.018</x:v>
      </x:c>
      <x:c r="C10" s="54" t="n">
        <x:f>'Central'!B34</x:f>
        <x:v>0.025</x:v>
      </x:c>
      <x:c r="D10" s="54" t="n">
        <x:f>'Optimiste'!B34</x:f>
        <x:v>0.03</x:v>
      </x:c>
    </x:row>
    <x:row r="11" ht="21" customHeight="1">
      <x:c r="A11" t="str">
        <x:v>Poids valeur terminale</x:v>
      </x:c>
      <x:c r="B11" s="54" t="n">
        <x:f>'Pessimiste'!B32</x:f>
        <x:v>0.6923440121179686</x:v>
      </x:c>
      <x:c r="C11" s="54" t="n">
        <x:f>'Central'!B32</x:f>
        <x:v>0.7719122897812051</x:v>
      </x:c>
      <x:c r="D11" s="54" t="n">
        <x:f>'Optimiste'!B32</x:f>
        <x:v>0.8305807910299009</x:v>
      </x:c>
    </x:row>
    <x:row r="12" ht="21" customHeight="1">
      <x:c r="A12" t="str">
        <x:v>CA 2030 (M MAD)</x:v>
      </x:c>
      <x:c r="B12" s="56" t="n">
        <x:f>'Pessimiste'!F7</x:f>
        <x:v>354.75146968013485</x:v>
      </x:c>
      <x:c r="C12" s="56" t="n">
        <x:f>'Central'!F7</x:f>
        <x:v>462.0803958327626</x:v>
      </x:c>
      <x:c r="D12" s="56" t="n">
        <x:f>'Optimiste'!F7</x:f>
        <x:v>549.694450305</x:v>
      </x:c>
    </x:row>
    <x:row r="13" ht="21" customHeight="1">
      <x:c r="A13" t="str">
        <x:v>EBITDA 2030 (M MAD)</x:v>
      </x:c>
      <x:c r="B13" s="56" t="n">
        <x:f>'Pessimiste'!F9</x:f>
        <x:v>64.56476748178454</x:v>
      </x:c>
      <x:c r="C13" s="56" t="n">
        <x:f>'Central'!F9</x:f>
        <x:v>98.42312431237843</x:v>
      </x:c>
      <x:c r="D13" s="56" t="n">
        <x:f>'Optimiste'!F9</x:f>
        <x:v>128.62850137137</x:v>
      </x:c>
    </x:row>
    <x:row r="14" ht="21" customHeight="1">
      <x:c r="A14" t="str">
        <x:v>Marge EBITDA 2030</x:v>
      </x:c>
      <x:c r="B14" s="54" t="n">
        <x:f>'Pessimiste'!F8</x:f>
        <x:v>0.182</x:v>
      </x:c>
      <x:c r="C14" s="54" t="n">
        <x:f>'Central'!F8</x:f>
        <x:v>0.21300000000000002</x:v>
      </x:c>
      <x:c r="D14" s="54" t="n">
        <x:f>'Optimiste'!F8</x:f>
        <x:v>0.23399999999999999</x:v>
      </x:c>
    </x:row>
    <x:row r="15" ht="21" customHeight="1">
      <x:c r="A15" t="str">
        <x:v>FCFF 2030 (M MAD)</x:v>
      </x:c>
      <x:c r="B15" s="56" t="n">
        <x:f>'Pessimiste'!F17</x:f>
        <x:v>26.031662845128302</x:v>
      </x:c>
      <x:c r="C15" s="56" t="n">
        <x:f>'Central'!F17</x:f>
        <x:v>45.11960681104122</x:v>
      </x:c>
      <x:c r="D15" s="56" t="n">
        <x:f>'Optimiste'!F17</x:f>
        <x:v>61.15994971691221</x:v>
      </x:c>
    </x:row>
    <x:row r="16" ht="21" customHeight="1">
      <x:c r="A16" t="str">
        <x:v>PV FCFF prévisionnels</x:v>
      </x:c>
      <x:c r="B16" s="56" t="n">
        <x:f>'Pessimiste'!B24</x:f>
        <x:v>82.16038727736276</x:v>
      </x:c>
      <x:c r="C16" s="56" t="n">
        <x:f>'Central'!B24</x:f>
        <x:v>139.9355605217763</x:v>
      </x:c>
      <x:c r="D16" s="56" t="n">
        <x:f>'Optimiste'!B24</x:f>
        <x:v>183.88659432787696</x:v>
      </x:c>
    </x:row>
    <x:row r="17" ht="21" customHeight="1">
      <x:c r="A17" t="str">
        <x:v>PV valeur terminale</x:v>
      </x:c>
      <x:c r="B17" s="56" t="n">
        <x:f>'Pessimiste'!B26</x:f>
        <x:v>184.89239411971704</x:v>
      </x:c>
      <x:c r="C17" s="56" t="n">
        <x:f>'Central'!B26</x:f>
        <x:v>473.5808818483192</x:v>
      </x:c>
      <x:c r="D17" s="56" t="n">
        <x:f>'Optimiste'!B26</x:f>
        <x:v>901.5074140949295</x:v>
      </x:c>
    </x:row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</x:sheetData>
  <x:mergeCells>
    <x:mergeCell ref="A1:D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8" hidden="0" customWidth="1"/>
    <x:col min="3" max="3" width="21" hidden="0" customWidth="1"/>
    <x:col min="4" max="4" width="17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5" hidden="0" customWidth="1"/>
  </x:cols>
  <x:sheetData>
    <x:row r="2" ht="27" customHeight="1">
      <x:c r="B2" s="50" t="str">
        <x:v>KHADIJA MACHGHOUL   /   VALUATION INTELLIGENCE</x:v>
      </x:c>
      <x:c r="C2" s="50"/>
      <x:c r="D2" s="50"/>
      <x:c r="E2" s="50"/>
      <x:c r="F2" s="50"/>
      <x:c r="G2" s="50"/>
      <x:c r="H2" s="50"/>
      <x:c r="I2" s="50"/>
      <x:c r="J2" s="50"/>
      <x:c r="K2" s="50"/>
    </x:row>
    <x:row r="3" ht="27" customHeight="1"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>
      <x:c r="B4" t="str">
        <x:v>ATLAS PACKAGING MAROC SA  •  MODÈLE DCF  •  MAD MILLIONS</x:v>
      </x:c>
    </x:row>
    <x:row r="6" ht="32" customHeight="1">
      <x:c r="B6" t="str">
        <x:v>SCÉNARIO ACTIF   →</x:v>
      </x:c>
      <x:c r="C6" s="69" t="str">
        <x:v>Central</x:v>
      </x:c>
      <x:c r="E6" t="str">
        <x:v>Modifier C6 pour actualiser tous les indicateurs et graphiques</x:v>
      </x:c>
    </x:row>
    <x:row r="8" ht="27" customHeight="1">
      <x:c r="B8" s="50" t="str">
        <x:v>01   INDICATEURS DE VALORISATION  |  SCÉNARIO SÉLECTIONNÉ</x:v>
      </x:c>
      <x:c r="C8" s="50"/>
      <x:c r="D8" s="50"/>
      <x:c r="E8" s="50"/>
      <x:c r="F8" s="50"/>
      <x:c r="G8" s="50"/>
      <x:c r="H8" s="50"/>
      <x:c r="I8" s="50"/>
      <x:c r="J8" s="50"/>
      <x:c r="K8" s="50"/>
    </x:row>
    <x:row r="10">
      <x:c r="B10" s="61" t="str">
        <x:v>VALEUR ENTREPRISE (M MAD)</x:v>
      </x:c>
      <x:c r="C10" s="71" t="n">
        <x:f>INDEX(Comparaison!$B$6:$D$6,1,MATCH($C$6,Comparaison!$B$4:$D$4,0))</x:f>
        <x:v>613.5164423700955</x:v>
      </x:c>
      <x:c r="D10" s="61"/>
    </x:row>
    <x:row r="13">
      <x:c r="B13" s="61" t="str">
        <x:v>VALEUR DES FONDS PROPRES (M MAD)</x:v>
      </x:c>
      <x:c r="C13" s="71" t="n">
        <x:f>INDEX(Comparaison!$B$7:$D$7,1,MATCH($C$6,Comparaison!$B$4:$D$4,0))</x:f>
        <x:v>539.5164423700955</x:v>
      </x:c>
      <x:c r="D13" s="61"/>
    </x:row>
    <x:row r="16">
      <x:c r="B16" s="61" t="str">
        <x:v>VALEUR / ACTION (MAD)</x:v>
      </x:c>
      <x:c r="C16" s="71" t="n">
        <x:f>INDEX(Comparaison!$B$8:$D$8,1,MATCH($C$6,Comparaison!$B$4:$D$4,0))</x:f>
        <x:v>89.91940706168259</x:v>
      </x:c>
      <x:c r="D16" s="61"/>
    </x:row>
    <x:row r="19">
      <x:c r="B19" s="61" t="str">
        <x:v>WACC</x:v>
      </x:c>
      <x:c r="C19" s="72" t="n">
        <x:f>INDEX(Comparaison!$B$9:$D$9,1,MATCH($C$6,Comparaison!$B$4:$D$4,0))</x:f>
        <x:v>0.08881520000000001</x:v>
      </x:c>
      <x:c r="D19" s="61"/>
    </x:row>
    <x:row r="22">
      <x:c r="B22" s="61" t="str">
        <x:v>CROISSANCE TERMINALE</x:v>
      </x:c>
      <x:c r="C22" s="72" t="n">
        <x:f>INDEX(Comparaison!$B$10:$D$10,1,MATCH($C$6,Comparaison!$B$4:$D$4,0))</x:f>
        <x:v>0.025</x:v>
      </x:c>
      <x:c r="D22" s="61"/>
    </x:row>
    <x:row r="25">
      <x:c r="B25" s="61" t="str">
        <x:v>PART VALEUR TERMINALE</x:v>
      </x:c>
      <x:c r="C25" s="72" t="n">
        <x:f>INDEX(Comparaison!$B$11:$D$11,1,MATCH($C$6,Comparaison!$B$4:$D$4,0))</x:f>
        <x:v>0.7719122897812051</x:v>
      </x:c>
      <x:c r="D25" s="61"/>
    </x:row>
    <x:row r="29" ht="27" customHeight="1">
      <x:c r="B29" s="50" t="str">
        <x:v>02   PERFORMANCE FINANCIÈRE  |  ÉVOLUTION 2026–2030</x:v>
      </x:c>
      <x:c r="C29" s="50"/>
      <x:c r="D29" s="50"/>
      <x:c r="E29" s="50"/>
      <x:c r="F29" s="50"/>
      <x:c r="G29" s="50"/>
      <x:c r="H29" s="50"/>
      <x:c r="I29" s="50"/>
      <x:c r="J29" s="50"/>
      <x:c r="K29" s="50"/>
    </x:row>
    <x:row r="31">
      <x:c r="B31" s="52" t="str">
        <x:v>Indicateurs / M MAD</x:v>
      </x:c>
      <x:c r="C31" s="52" t="n">
        <x:v>2026</x:v>
      </x:c>
      <x:c r="D31" s="52" t="n">
        <x:v>2027</x:v>
      </x:c>
      <x:c r="E31" s="52" t="n">
        <x:v>2028</x:v>
      </x:c>
      <x:c r="F31" s="52" t="n">
        <x:v>2029</x:v>
      </x:c>
      <x:c r="G31" s="52" t="n">
        <x:v>2030</x:v>
      </x:c>
    </x:row>
    <x:row r="32">
      <x:c r="B32" t="str">
        <x:v>Chiffre d’affaires</x:v>
      </x:c>
      <x:c r="C32" s="56" t="n">
        <x:f>IF($C$6="Pessimiste",Pessimiste!B7,IF($C$6="Optimiste",Optimiste!B7,Central!B7))</x:f>
        <x:v>349.305</x:v>
      </x:c>
      <x:c r="D32" s="56" t="n">
        <x:f>IF($C$6="Pessimiste",Pessimiste!C7,IF($C$6="Optimiste",Optimiste!C7,Central!C7))</x:f>
        <x:v>379.34523</x:v>
      </x:c>
      <x:c r="E32" s="56" t="n">
        <x:f>IF($C$6="Pessimiste",Pessimiste!D7,IF($C$6="Optimiste",Optimiste!D7,Central!D7))</x:f>
        <x:v>408.55481271</x:v>
      </x:c>
      <x:c r="F32" s="56" t="n">
        <x:f>IF($C$6="Pessimiste",Pessimiste!E7,IF($C$6="Optimiste",Optimiste!E7,Central!E7))</x:f>
        <x:v>436.3365399742801</x:v>
      </x:c>
      <x:c r="G32" s="56" t="n">
        <x:f>IF($C$6="Pessimiste",Pessimiste!F7,IF($C$6="Optimiste",Optimiste!F7,Central!F7))</x:f>
        <x:v>462.0803958327626</x:v>
      </x:c>
    </x:row>
    <x:row r="33">
      <x:c r="B33" t="str">
        <x:v>EBITDA</x:v>
      </x:c>
      <x:c r="C33" s="56" t="n">
        <x:f>IF($C$6="Pessimiste",Pessimiste!B9,IF($C$6="Optimiste",Optimiste!B9,Central!B9))</x:f>
        <x:v>68.813085</x:v>
      </x:c>
      <x:c r="D33" s="56" t="n">
        <x:f>IF($C$6="Pessimiste",Pessimiste!C9,IF($C$6="Optimiste",Optimiste!C9,Central!C9))</x:f>
        <x:v>76.24839123000001</x:v>
      </x:c>
      <x:c r="E33" s="56" t="n">
        <x:f>IF($C$6="Pessimiste",Pessimiste!D9,IF($C$6="Optimiste",Optimiste!D9,Central!D9))</x:f>
        <x:v>83.75373660555002</x:v>
      </x:c>
      <x:c r="F33" s="56" t="n">
        <x:f>IF($C$6="Pessimiste",Pessimiste!E9,IF($C$6="Optimiste",Optimiste!E9,Central!E9))</x:f>
        <x:v>91.19433685462454</x:v>
      </x:c>
      <x:c r="G33" s="56" t="n">
        <x:f>IF($C$6="Pessimiste",Pessimiste!F9,IF($C$6="Optimiste",Optimiste!F9,Central!F9))</x:f>
        <x:v>98.42312431237843</x:v>
      </x:c>
    </x:row>
    <x:row r="34">
      <x:c r="B34" t="str">
        <x:v>FCFF</x:v>
      </x:c>
      <x:c r="C34" s="56" t="n">
        <x:f>IF($C$6="Pessimiste",Pessimiste!B17,IF($C$6="Optimiste",Optimiste!B17,Central!B17))</x:f>
        <x:v>28.246089200000007</x:v>
      </x:c>
      <x:c r="D34" s="56" t="n">
        <x:f>IF($C$6="Pessimiste",Pessimiste!C17,IF($C$6="Optimiste",Optimiste!C17,Central!C17))</x:f>
        <x:v>32.291989752</x:v>
      </x:c>
      <x:c r="E34" s="56" t="n">
        <x:f>IF($C$6="Pessimiste",Pessimiste!D17,IF($C$6="Optimiste",Optimiste!D17,Central!D17))</x:f>
        <x:v>36.47507568352561</x:v>
      </x:c>
      <x:c r="F34" s="56" t="n">
        <x:f>IF($C$6="Pessimiste",Pessimiste!E17,IF($C$6="Optimiste",Optimiste!E17,Central!E17))</x:f>
        <x:v>40.77612358417922</x:v>
      </x:c>
      <x:c r="G34" s="56" t="n">
        <x:f>IF($C$6="Pessimiste",Pessimiste!F17,IF($C$6="Optimiste",Optimiste!F17,Central!F17))</x:f>
        <x:v>45.11960681104122</x:v>
      </x:c>
    </x:row>
    <x:row r="35">
      <x:c r="B35" t="str">
        <x:v>CAPEX</x:v>
      </x:c>
      <x:c r="C35" s="56" t="n">
        <x:f>IF($C$6="Pessimiste",Pessimiste!B14,IF($C$6="Optimiste",Optimiste!B14,Central!B14))</x:f>
        <x:v>21.65691</x:v>
      </x:c>
      <x:c r="D35" s="56" t="n">
        <x:f>IF($C$6="Pessimiste",Pessimiste!C14,IF($C$6="Optimiste",Optimiste!C14,Central!C14))</x:f>
        <x:v>23.51940426</x:v>
      </x:c>
      <x:c r="E35" s="56" t="n">
        <x:f>IF($C$6="Pessimiste",Pessimiste!D14,IF($C$6="Optimiste",Optimiste!D14,Central!D14))</x:f>
        <x:v>25.33039838802</x:v>
      </x:c>
      <x:c r="F35" s="56" t="n">
        <x:f>IF($C$6="Pessimiste",Pessimiste!E14,IF($C$6="Optimiste",Optimiste!E14,Central!E14))</x:f>
        <x:v>27.052865478405366</x:v>
      </x:c>
      <x:c r="G35" s="56" t="n">
        <x:f>IF($C$6="Pessimiste",Pessimiste!F14,IF($C$6="Optimiste",Optimiste!F14,Central!F14))</x:f>
        <x:v>28.64898454163128</x:v>
      </x:c>
    </x:row>
    <x:row r="36">
      <x:c r="B36" t="str">
        <x:v>BFR opérationnel</x:v>
      </x:c>
      <x:c r="C36" s="56" t="n">
        <x:f>IF($C$6="Pessimiste",Pessimiste!B15,IF($C$6="Optimiste",Optimiste!B15,Central!B15))</x:f>
        <x:v>54.142275</x:v>
      </x:c>
      <x:c r="D36" s="56" t="n">
        <x:f>IF($C$6="Pessimiste",Pessimiste!C15,IF($C$6="Optimiste",Optimiste!C15,Central!C15))</x:f>
        <x:v>58.798510650000004</x:v>
      </x:c>
      <x:c r="E36" s="56" t="n">
        <x:f>IF($C$6="Pessimiste",Pessimiste!D15,IF($C$6="Optimiste",Optimiste!D15,Central!D15))</x:f>
        <x:v>63.32599597005</x:v>
      </x:c>
      <x:c r="F36" s="56" t="n">
        <x:f>IF($C$6="Pessimiste",Pessimiste!E15,IF($C$6="Optimiste",Optimiste!E15,Central!E15))</x:f>
        <x:v>67.63216369601341</x:v>
      </x:c>
      <x:c r="G36" s="56" t="n">
        <x:f>IF($C$6="Pessimiste",Pessimiste!F15,IF($C$6="Optimiste",Optimiste!F15,Central!F15))</x:f>
        <x:v>71.6224613540782</x:v>
      </x:c>
    </x:row>
    <x:row r="57" ht="27" customHeight="1">
      <x:c r="B57" s="50" t="str">
        <x:v>03   COMPARATIF DES TROIS SCÉNARIOS</x:v>
      </x:c>
      <x:c r="C57" s="50"/>
      <x:c r="D57" s="50"/>
      <x:c r="E57" s="50"/>
      <x:c r="F57" s="50"/>
      <x:c r="G57" s="50"/>
      <x:c r="H57" s="50"/>
      <x:c r="I57" s="50"/>
      <x:c r="J57" s="50"/>
      <x:c r="K57" s="50"/>
    </x:row>
    <x:row r="59">
      <x:c r="B59" t="str">
        <x:v>Indicateur</x:v>
      </x:c>
      <x:c r="C59" t="str">
        <x:v>Pessimiste</x:v>
      </x:c>
      <x:c r="D59" t="str">
        <x:v>Central</x:v>
      </x:c>
      <x:c r="E59" t="str">
        <x:v>Optimiste</x:v>
      </x:c>
    </x:row>
    <x:row r="60">
      <x:c r="B60" t="str">
        <x:v>Valeur / action (MAD)</x:v>
      </x:c>
      <x:c r="C60" s="56" t="n">
        <x:f>Comparaison!B8</x:f>
        <x:v>32.175463566179964</x:v>
      </x:c>
      <x:c r="D60" s="56" t="n">
        <x:f>Comparaison!C8</x:f>
        <x:v>89.91940706168259</x:v>
      </x:c>
      <x:c r="E60" s="56" t="n">
        <x:f>Comparaison!D8</x:f>
        <x:v>168.56566807046772</x:v>
      </x:c>
    </x:row>
    <x:row r="61">
      <x:c r="B61" t="str">
        <x:v>EV (M MAD)</x:v>
      </x:c>
      <x:c r="C61" s="56" t="n">
        <x:f>Comparaison!B6</x:f>
        <x:v>267.0527813970798</x:v>
      </x:c>
      <x:c r="D61" s="56" t="n">
        <x:f>Comparaison!C6</x:f>
        <x:v>613.5164423700955</x:v>
      </x:c>
      <x:c r="E61" s="56" t="n">
        <x:f>Comparaison!D6</x:f>
        <x:v>1085.3940084228063</x:v>
      </x:c>
    </x:row>
    <x:row r="62">
      <x:c r="B62" t="str">
        <x:v>WACC</x:v>
      </x:c>
      <x:c r="C62" s="54" t="n">
        <x:f>Comparaison!B9</x:f>
        <x:v>0.105</x:v>
      </x:c>
      <x:c r="D62" s="54" t="n">
        <x:f>Comparaison!C9</x:f>
        <x:v>0.08881520000000001</x:v>
      </x:c>
      <x:c r="E62" s="54" t="n">
        <x:f>Comparaison!D9</x:f>
        <x:v>0.078</x:v>
      </x:c>
    </x:row>
    <x:row r="63">
      <x:c r="B63" t="str">
        <x:v>CA 2030 (M MAD)</x:v>
      </x:c>
      <x:c r="C63" s="56" t="n">
        <x:f>Comparaison!B12</x:f>
        <x:v>354.75146968013485</x:v>
      </x:c>
      <x:c r="D63" s="56" t="n">
        <x:f>Comparaison!C12</x:f>
        <x:v>462.0803958327626</x:v>
      </x:c>
      <x:c r="E63" s="56" t="n">
        <x:f>Comparaison!D12</x:f>
        <x:v>549.694450305</x:v>
      </x:c>
    </x:row>
    <x:row r="66">
      <x:c r="B66" t="str">
        <x:v>Données fictives • étude académique de valorisation • 31/12/2025</x:v>
      </x:c>
    </x:row>
    <x:row r="67">
      <x:c r="B67" t="str">
        <x:v>Méthode : DCF / FCFF, Gordon-Shapiro, WACC propre à chaque scénario.</x:v>
      </x:c>
    </x:row>
    <x:row r="68">
      <x:c r="B68" t="str">
        <x:v>Attention : une forte proportion de valeur terminale augmente la sensibilité aux hypothèses.</x:v>
      </x:c>
    </x:row>
  </x:sheetData>
  <x:mergeCells>
    <x:mergeCell ref="B2:K3"/>
    <x:mergeCell ref="B8:K8"/>
    <x:mergeCell ref="B29:K29"/>
    <x:mergeCell ref="B57:K57"/>
  </x:mergeCells>
  <x:dataValidations count="1">
    <x:dataValidation type="list" sqref="C6">
      <x:formula1>"Pessimiste,Central,Optimiste"</x:formula1>
    </x:dataValidation>
  </x:dataValidations>
  <x:pageMargins left="0.7" right="0.7" top="0.75" bottom="0.75" header="0.3" footer="0.3"/>
  <x:drawing xmlns:r="http://schemas.openxmlformats.org/officeDocument/2006/relationships" r:id="R3cbe6b8b6c0f4ed3"/>
</x:worksheet>
</file>